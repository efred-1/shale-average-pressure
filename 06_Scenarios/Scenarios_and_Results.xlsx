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_Definitions" sheetId="2" state="visible" r:id="rId4"/>
    <sheet name="Parameter_Ranges" sheetId="3" state="visible" r:id="rId5"/>
    <sheet name="Results_by_Scenario" sheetId="4" state="visible" r:id="rId6"/>
    <sheet name="Summary" sheetId="5" state="visible" r:id="rId7"/>
    <sheet name="Initial_Pressure_Sensitivity" sheetId="6" state="visible" r:id="rId8"/>
    <sheet name="Field_Scenarios" sheetId="7" state="visible" r:id="rId9"/>
    <sheet name="Field_Rate_Varia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<sst xmlns="http://schemas.openxmlformats.org/spreadsheetml/2006/main" count="533" uniqueCount="224">
  <si>
    <t xml:space="preserve">Scenarios and results: average reservoir pressure in shale without extended shut-in</t>
  </si>
  <si>
    <t xml:space="preserve">This workbook lists every scenario run for the manuscript and the result of each. All values are outputs of the code in 05_Code; nothing here needs to be edited.</t>
  </si>
  <si>
    <t xml:space="preserve">Sheets</t>
  </si>
  <si>
    <t xml:space="preserve">Scenario_Definitions — what each synthetic and field scenario changes, how many cases it has, and the random seeds used.</t>
  </si>
  <si>
    <t xml:space="preserve">Parameter_Ranges — sampling ranges of the main synthetic set and the overrides of the two out-of-distribution sets.</t>
  </si>
  <si>
    <t xml:space="preserve">Results_by_Scenario — accuracy of every estimator, for every scenario and buildup duration N (pooled out-of-fold for the main set).</t>
  </si>
  <si>
    <t xml:space="preserve">Summary — headline comparison computed with formulas from Results_by_Scenario.</t>
  </si>
  <si>
    <t xml:space="preserve">Initial_Pressure_Sensitivity — the 8 % versus 15 % initial-pressure-error scenario on the held-out selection-split cases.</t>
  </si>
  <si>
    <t xml:space="preserve">Field_Scenarios — HFTS-1 Monte Carlo results per well and buildup duration (P10 / P50 / P90 over 300 draws).</t>
  </si>
  <si>
    <t xml:space="preserve">Field_Rate_Variants — the three pad-production scenarios (older-well base decline slow / central / fast).</t>
  </si>
  <si>
    <t xml:space="preserve">Conventions</t>
  </si>
  <si>
    <t xml:space="preserve">Relative error e = (estimate − p̄_S) / (p̄_S − p_wf). 'Median |e|' is the median absolute value; 'Bias' is the median signed value.</t>
  </si>
  <si>
    <t xml:space="preserve">Methods: proxy = pressure at the end of the N-hour buildup; horner = Horner p*; fmb = flowing material balance; sqrt = square-root-decline estimator, Eq. (14); slab = slab inversion; ml_data = ML-D; ml_phys = ML-P; ml_phys_interval = ML-P 80 % conformal interval.</t>
  </si>
  <si>
    <t xml:space="preserve">Font colour: black values are model outputs; formulas on the Summary sheet recalculate from Results_by_Scenario.</t>
  </si>
  <si>
    <t xml:space="preserve">Scenario definitions</t>
  </si>
  <si>
    <t xml:space="preserve">ID</t>
  </si>
  <si>
    <t xml:space="preserve">Scenario</t>
  </si>
  <si>
    <t xml:space="preserve">Purpose</t>
  </si>
  <si>
    <t xml:space="preserve">Data</t>
  </si>
  <si>
    <t xml:space="preserve">Cases / wells</t>
  </si>
  <si>
    <t xml:space="preserve">Physics or parameter change</t>
  </si>
  <si>
    <t xml:space="preserve">Observation settings</t>
  </si>
  <si>
    <t xml:space="preserve">Random seeds</t>
  </si>
  <si>
    <t xml:space="preserve">Results</t>
  </si>
  <si>
    <t xml:space="preserve">S1</t>
  </si>
  <si>
    <t xml:space="preserve">Main (in-distribution)</t>
  </si>
  <si>
    <t xml:space="preserve">Training, cross-validation and headline accuracy</t>
  </si>
  <si>
    <t xml:space="preserve">03_Raw_Data/synthetic/main; 04_Clean_Data/synthetic/feature_table_main.csv</t>
  </si>
  <si>
    <t xml:space="preserve">Table 1 ranges; constant c_t</t>
  </si>
  <si>
    <t xml:space="preserve">N = 24, 72, 168 h; p_i error 8 % (1 s.d.); rate noise 5 %; gauge noise 0.1–1 psi</t>
  </si>
  <si>
    <t xml:space="preserve">simulation 20261024; observation 1</t>
  </si>
  <si>
    <t xml:space="preserve">Results_by_Scenario (set = cv_pooled)</t>
  </si>
  <si>
    <t xml:space="preserve">S2</t>
  </si>
  <si>
    <t xml:space="preserve">Nonlinear compressibility</t>
  </si>
  <si>
    <t xml:space="preserve">Robustness to free gas below a bubble point (out of distribution)</t>
  </si>
  <si>
    <t xml:space="preserve">03_Raw_Data/synthetic/nonlinear; feature_table_nonlinear.csv</t>
  </si>
  <si>
    <t xml:space="preserve">c_t rises 3–10× below p_b = 1,500–3,500 psia, Eq. (15)</t>
  </si>
  <si>
    <t xml:space="preserve">as S1</t>
  </si>
  <si>
    <t xml:space="preserve">simulation 777; observation 5</t>
  </si>
  <si>
    <t xml:space="preserve">Results_by_Scenario (set = nonlinear)</t>
  </si>
  <si>
    <t xml:space="preserve">S3</t>
  </si>
  <si>
    <t xml:space="preserve">Extrapolation</t>
  </si>
  <si>
    <t xml:space="preserve">Spacing and permeability outside the training ranges</t>
  </si>
  <si>
    <t xml:space="preserve">03_Raw_Data/synthetic/extrap; feature_table_extrap.csv</t>
  </si>
  <si>
    <t xml:space="preserve">L = 150–300 ft; k = 3–10 μD (case 128 of 200 failed grid construction)</t>
  </si>
  <si>
    <t xml:space="preserve">simulation 999; observation 3</t>
  </si>
  <si>
    <t xml:space="preserve">Results_by_Scenario (set = extrap)</t>
  </si>
  <si>
    <t xml:space="preserve">S4</t>
  </si>
  <si>
    <t xml:space="preserve">Initial-pressure error 15 %</t>
  </si>
  <si>
    <t xml:space="preserve">Sensitivity of the estimators to a poorly known initial pressure</t>
  </si>
  <si>
    <t xml:space="preserve">feature_table_main_pierr15.csv</t>
  </si>
  <si>
    <t xml:space="preserve">same cases as S1</t>
  </si>
  <si>
    <t xml:space="preserve">p_i error 15 % (1 s.d.)</t>
  </si>
  <si>
    <t xml:space="preserve">observation 1</t>
  </si>
  <si>
    <t xml:space="preserve">Initial_Pressure_Sensitivity</t>
  </si>
  <si>
    <t xml:space="preserve">F1</t>
  </si>
  <si>
    <t xml:space="preserve">HFTS-1, central pad-decline variant</t>
  </si>
  <si>
    <t xml:space="preserve">Field application</t>
  </si>
  <si>
    <t xml:space="preserve">04_Clean_Data/field</t>
  </si>
  <si>
    <t xml:space="preserve">older-well base decline 0.69 /yr</t>
  </si>
  <si>
    <t xml:space="preserve">p_i ~ U(3,700, 4,800) psia; 5 % rate noise; N = 24 h and min(72 h, buildup length)</t>
  </si>
  <si>
    <t xml:space="preserve">Monte Carlo 2016 (300 draws, variants cycled)</t>
  </si>
  <si>
    <t xml:space="preserve">Field_Scenarios</t>
  </si>
  <si>
    <t xml:space="preserve">F2</t>
  </si>
  <si>
    <t xml:space="preserve">HFTS-1, slow pad-decline variant</t>
  </si>
  <si>
    <t xml:space="preserve">base decline × 0.5</t>
  </si>
  <si>
    <t xml:space="preserve">as F1</t>
  </si>
  <si>
    <t xml:space="preserve">Field_Scenarios (pooled)</t>
  </si>
  <si>
    <t xml:space="preserve">F3</t>
  </si>
  <si>
    <t xml:space="preserve">HFTS-1, fast pad-decline variant</t>
  </si>
  <si>
    <t xml:space="preserve">base decline × 1.5</t>
  </si>
  <si>
    <t xml:space="preserve">Sampling ranges (Table 1) and out-of-distribution overrides</t>
  </si>
  <si>
    <t xml:space="preserve">Quantity</t>
  </si>
  <si>
    <t xml:space="preserve">Symbol</t>
  </si>
  <si>
    <t xml:space="preserve">Main set (S1, S4)</t>
  </si>
  <si>
    <t xml:space="preserve">Extrapolation set (S3)</t>
  </si>
  <si>
    <t xml:space="preserve">Nonlinear set (S2)</t>
  </si>
  <si>
    <t xml:space="preserve">Matrix permeability</t>
  </si>
  <si>
    <t xml:space="preserve">k</t>
  </si>
  <si>
    <t xml:space="preserve">0.1–3 μD (log-uniform)</t>
  </si>
  <si>
    <t xml:space="preserve">3–10 μD</t>
  </si>
  <si>
    <t xml:space="preserve">—</t>
  </si>
  <si>
    <t xml:space="preserve">Porosity</t>
  </si>
  <si>
    <t xml:space="preserve">φ</t>
  </si>
  <si>
    <t xml:space="preserve">0.04–0.10 (uniform)</t>
  </si>
  <si>
    <t xml:space="preserve">Oil viscosity</t>
  </si>
  <si>
    <t xml:space="preserve">μ</t>
  </si>
  <si>
    <t xml:space="preserve">0.2–1.0 cp (log-uniform)</t>
  </si>
  <si>
    <t xml:space="preserve">Total compressibility</t>
  </si>
  <si>
    <t xml:space="preserve">c_t</t>
  </si>
  <si>
    <t xml:space="preserve">5×10⁻⁶–3×10⁻⁵ psi⁻¹ (log-uniform)</t>
  </si>
  <si>
    <t xml:space="preserve">×(3–10) below p_b</t>
  </si>
  <si>
    <t xml:space="preserve">Bubble point</t>
  </si>
  <si>
    <t xml:space="preserve">p_b</t>
  </si>
  <si>
    <t xml:space="preserve">1,500–3,500 psia (uniform)</t>
  </si>
  <si>
    <t xml:space="preserve">Effective half fracture spacing</t>
  </si>
  <si>
    <t xml:space="preserve">L</t>
  </si>
  <si>
    <t xml:space="preserve">15–150 ft (log-uniform)</t>
  </si>
  <si>
    <t xml:space="preserve">150–300 ft</t>
  </si>
  <si>
    <t xml:space="preserve">Fracture half-length</t>
  </si>
  <si>
    <t xml:space="preserve">x_f</t>
  </si>
  <si>
    <t xml:space="preserve">75–400 ft (uniform)</t>
  </si>
  <si>
    <t xml:space="preserve">Half well spacing</t>
  </si>
  <si>
    <t xml:space="preserve">Y_e</t>
  </si>
  <si>
    <t xml:space="preserve">x_f × U(1, 2.5), clipped to 100–600 ft, ≥ x_f</t>
  </si>
  <si>
    <t xml:space="preserve">Height</t>
  </si>
  <si>
    <t xml:space="preserve">h</t>
  </si>
  <si>
    <t xml:space="preserve">50–150 ft (uniform)</t>
  </si>
  <si>
    <t xml:space="preserve">Fracture conductivity</t>
  </si>
  <si>
    <t xml:space="preserve">F_c</t>
  </si>
  <si>
    <t xml:space="preserve">0.5–50 md·ft (log-uniform)</t>
  </si>
  <si>
    <t xml:space="preserve">Lateral length</t>
  </si>
  <si>
    <t xml:space="preserve">7,500–10,000 ft (uniform)</t>
  </si>
  <si>
    <t xml:space="preserve">Wellbore storage (whole well)</t>
  </si>
  <si>
    <t xml:space="preserve">C_well</t>
  </si>
  <si>
    <t xml:space="preserve">0.01–1 bbl/psi (log-uniform)</t>
  </si>
  <si>
    <t xml:space="preserve">Initial pressure</t>
  </si>
  <si>
    <t xml:space="preserve">p_i</t>
  </si>
  <si>
    <t xml:space="preserve">4,000–6,500 psia (uniform)</t>
  </si>
  <si>
    <t xml:space="preserve">Start and end BHP</t>
  </si>
  <si>
    <t xml:space="preserve">p_start, p_end</t>
  </si>
  <si>
    <t xml:space="preserve">p_i − (200–1,500) psi; 300–1,500 psia</t>
  </si>
  <si>
    <t xml:space="preserve">BHP time constant</t>
  </si>
  <si>
    <t xml:space="preserve">τ_p</t>
  </si>
  <si>
    <t xml:space="preserve">(0.1–0.6) t_p</t>
  </si>
  <si>
    <t xml:space="preserve">Choke steps</t>
  </si>
  <si>
    <t xml:space="preserve">0–4 tanh-smoothed steps of ±30–150 psi</t>
  </si>
  <si>
    <t xml:space="preserve">Production time</t>
  </si>
  <si>
    <t xml:space="preserve">t_p</t>
  </si>
  <si>
    <t xml:space="preserve">60–900 d (log-uniform)</t>
  </si>
  <si>
    <t xml:space="preserve">Shut-in simulated</t>
  </si>
  <si>
    <t xml:space="preserve">504 h</t>
  </si>
  <si>
    <t xml:space="preserve">Accuracy of every estimator by scenario and buildup duration</t>
  </si>
  <si>
    <t xml:space="preserve">N (h)</t>
  </si>
  <si>
    <t xml:space="preserve">Method</t>
  </si>
  <si>
    <t xml:space="preserve">Rows</t>
  </si>
  <si>
    <t xml:space="preserve">Undefined fraction</t>
  </si>
  <si>
    <t xml:space="preserve">Bias (median e)</t>
  </si>
  <si>
    <t xml:space="preserve">Median |e|</t>
  </si>
  <si>
    <t xml:space="preserve">90th pct |e|</t>
  </si>
  <si>
    <t xml:space="preserve">Median |error| (psi)</t>
  </si>
  <si>
    <t xml:space="preserve">Within 10 %</t>
  </si>
  <si>
    <t xml:space="preserve">Within 25 %</t>
  </si>
  <si>
    <t xml:space="preserve">Interval coverage</t>
  </si>
  <si>
    <t xml:space="preserve">Interval width / deficit</t>
  </si>
  <si>
    <t xml:space="preserve">Fold s.d. of median |e|</t>
  </si>
  <si>
    <t xml:space="preserve">Fold s.d. of coverage</t>
  </si>
  <si>
    <t xml:space="preserve">S1 Main (5-fold CV, pooled)</t>
  </si>
  <si>
    <t xml:space="preserve">proxy</t>
  </si>
  <si>
    <t xml:space="preserve">horner</t>
  </si>
  <si>
    <t xml:space="preserve">fmb</t>
  </si>
  <si>
    <t xml:space="preserve">sqrt</t>
  </si>
  <si>
    <t xml:space="preserve">slab</t>
  </si>
  <si>
    <t xml:space="preserve">ml_data</t>
  </si>
  <si>
    <t xml:space="preserve">ml_phys</t>
  </si>
  <si>
    <t xml:space="preserve">ml_phys_interval</t>
  </si>
  <si>
    <t xml:space="preserve">S2 Nonlinear</t>
  </si>
  <si>
    <t xml:space="preserve">S3 Extrapolation</t>
  </si>
  <si>
    <t xml:space="preserve">Headline comparison (formulas reading Results_by_Scenario)</t>
  </si>
  <si>
    <t xml:space="preserve">Proxy median |e|</t>
  </si>
  <si>
    <t xml:space="preserve">Best physics median |e|</t>
  </si>
  <si>
    <t xml:space="preserve">ML-D median |e|</t>
  </si>
  <si>
    <t xml:space="preserve">ML-P median |e|</t>
  </si>
  <si>
    <t xml:space="preserve">ML-P bias</t>
  </si>
  <si>
    <t xml:space="preserve">ML-P reduction vs proxy</t>
  </si>
  <si>
    <t xml:space="preserve">ML-P reduction vs best physics</t>
  </si>
  <si>
    <t xml:space="preserve">ML-P interval coverage</t>
  </si>
  <si>
    <t xml:space="preserve">Best physics = the lowest median |e| among Horner, FMB, square-root decline and slab inversion for that scenario and duration.</t>
  </si>
  <si>
    <t xml:space="preserve">Initial-pressure error 8 % vs 15 % (held-out cases of the selection split, models fitted on training + validation)</t>
  </si>
  <si>
    <t xml:space="preserve">p_i error</t>
  </si>
  <si>
    <t xml:space="preserve">8 % (S1)</t>
  </si>
  <si>
    <t xml:space="preserve">15 % (S4)</t>
  </si>
  <si>
    <t xml:space="preserve">HFTS-1 Monte Carlo estimates (psia) per well and buildup duration; 300 draws of p_i, pad-decline variant and rate noise</t>
  </si>
  <si>
    <t xml:space="preserve">Well</t>
  </si>
  <si>
    <t xml:space="preserve">Buildup length (h)</t>
  </si>
  <si>
    <t xml:space="preserve">t_p (d)</t>
  </si>
  <si>
    <t xml:space="preserve">p_wf</t>
  </si>
  <si>
    <t xml:space="preserve">p_ws(N)</t>
  </si>
  <si>
    <t xml:space="preserve">Core well 6TW</t>
  </si>
  <si>
    <t xml:space="preserve">Horner P50</t>
  </si>
  <si>
    <t xml:space="preserve">FMB P10</t>
  </si>
  <si>
    <t xml:space="preserve">FMB P50</t>
  </si>
  <si>
    <t xml:space="preserve">FMB P90</t>
  </si>
  <si>
    <t xml:space="preserve">Sq.-root P10</t>
  </si>
  <si>
    <t xml:space="preserve">Sq.-root P50</t>
  </si>
  <si>
    <t xml:space="preserve">Sq.-root P90</t>
  </si>
  <si>
    <t xml:space="preserve">Slab P50</t>
  </si>
  <si>
    <t xml:space="preserve">ML-D P10</t>
  </si>
  <si>
    <t xml:space="preserve">ML-D P50</t>
  </si>
  <si>
    <t xml:space="preserve">ML-D P90</t>
  </si>
  <si>
    <t xml:space="preserve">ML-P P50</t>
  </si>
  <si>
    <t xml:space="preserve">ML-P 80 % low</t>
  </si>
  <si>
    <t xml:space="preserve">ML-P 80 % high</t>
  </si>
  <si>
    <t xml:space="preserve">Flag: P50 outside quantile band</t>
  </si>
  <si>
    <t xml:space="preserve">D (10⁻³/d)</t>
  </si>
  <si>
    <t xml:space="preserve">3SU</t>
  </si>
  <si>
    <t xml:space="preserve">no</t>
  </si>
  <si>
    <t xml:space="preserve">4SM</t>
  </si>
  <si>
    <t xml:space="preserve">yes</t>
  </si>
  <si>
    <t xml:space="preserve">5SM</t>
  </si>
  <si>
    <t xml:space="preserve">5SU</t>
  </si>
  <si>
    <t xml:space="preserve">6SM</t>
  </si>
  <si>
    <t xml:space="preserve">6SU</t>
  </si>
  <si>
    <t xml:space="preserve">7RM</t>
  </si>
  <si>
    <t xml:space="preserve">7SU</t>
  </si>
  <si>
    <t xml:space="preserve">8SM</t>
  </si>
  <si>
    <t xml:space="preserve">8SU</t>
  </si>
  <si>
    <t xml:space="preserve">Pad oil rate (bbl/d) = lease 16507 total minus the extrapolated decline of the older wells</t>
  </si>
  <si>
    <t xml:space="preserve">Source: Railroad Commission of Texas Production Data Query, lease 16507 (raw file in 03_Raw_Data/field). Only the shape of the decline enters the estimators.</t>
  </si>
  <si>
    <t xml:space="preserve">Month</t>
  </si>
  <si>
    <t xml:space="preserve">Days</t>
  </si>
  <si>
    <t xml:space="preserve">Lease total</t>
  </si>
  <si>
    <t xml:space="preserve">Pad (slow base decline, ×0.5)</t>
  </si>
  <si>
    <t xml:space="preserve">Pad (central, 0.69 /yr)</t>
  </si>
  <si>
    <t xml:space="preserve">Pad (fast base decline, ×1.5)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</si>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</sst>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0"/>
    <numFmt numFmtId="167" formatCode="\+0.000;\-0.000;0.000"/>
    <numFmt numFmtId="168" formatCode="0.00"/>
    <numFmt numFmtId="169" formatCode="0.0%"/>
    <numFmt numFmtId="170" formatCode="0.0"/>
    <numFmt numFmtId="171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F1F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F1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25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25.3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26"/>
    <col collapsed="false" customWidth="true" hidden="false" outlineLevel="0" max="9" min="9" style="0" width="32"/>
  </cols>
  <sheetData>
    <row r="1" customFormat="false" ht="16.15" hidden="false" customHeight="false" outlineLevel="0" collapsed="false">
      <c r="A1" s="4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25.3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n">
        <v>2997</v>
      </c>
      <c r="F4" s="2" t="s">
        <v>28</v>
      </c>
      <c r="G4" s="2" t="s">
        <v>29</v>
      </c>
      <c r="H4" s="2" t="s">
        <v>30</v>
      </c>
      <c r="I4" s="2" t="s">
        <v>31</v>
      </c>
    </row>
    <row r="5" customFormat="false" ht="25.35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2" t="n">
        <v>160</v>
      </c>
      <c r="F5" s="2" t="s">
        <v>36</v>
      </c>
      <c r="G5" s="2" t="s">
        <v>37</v>
      </c>
      <c r="H5" s="2" t="s">
        <v>38</v>
      </c>
      <c r="I5" s="2" t="s">
        <v>39</v>
      </c>
    </row>
    <row r="6" customFormat="false" ht="25.3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n">
        <v>199</v>
      </c>
      <c r="F6" s="2" t="s">
        <v>44</v>
      </c>
      <c r="G6" s="2" t="s">
        <v>37</v>
      </c>
      <c r="H6" s="2" t="s">
        <v>45</v>
      </c>
      <c r="I6" s="2" t="s">
        <v>46</v>
      </c>
    </row>
    <row r="7" customFormat="false" ht="25.35" hidden="false" customHeight="false" outlineLevel="0" collapsed="false">
      <c r="A7" s="2" t="s">
        <v>47</v>
      </c>
      <c r="B7" s="2" t="s">
        <v>48</v>
      </c>
      <c r="C7" s="2" t="s">
        <v>49</v>
      </c>
      <c r="D7" s="2" t="s">
        <v>50</v>
      </c>
      <c r="E7" s="2" t="n">
        <v>2997</v>
      </c>
      <c r="F7" s="2" t="s">
        <v>51</v>
      </c>
      <c r="G7" s="2" t="s">
        <v>52</v>
      </c>
      <c r="H7" s="2" t="s">
        <v>53</v>
      </c>
      <c r="I7" s="2" t="s">
        <v>54</v>
      </c>
    </row>
    <row r="8" customFormat="false" ht="25.3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58</v>
      </c>
      <c r="E8" s="2" t="n">
        <v>10</v>
      </c>
      <c r="F8" s="2" t="s">
        <v>59</v>
      </c>
      <c r="G8" s="2" t="s">
        <v>60</v>
      </c>
      <c r="H8" s="2" t="s">
        <v>61</v>
      </c>
      <c r="I8" s="2" t="s">
        <v>62</v>
      </c>
    </row>
    <row r="9" customFormat="false" ht="15" hidden="false" customHeight="false" outlineLevel="0" collapsed="false">
      <c r="A9" s="2" t="s">
        <v>63</v>
      </c>
      <c r="B9" s="2" t="s">
        <v>64</v>
      </c>
      <c r="C9" s="2" t="s">
        <v>57</v>
      </c>
      <c r="D9" s="2" t="s">
        <v>58</v>
      </c>
      <c r="E9" s="2" t="n">
        <v>10</v>
      </c>
      <c r="F9" s="2" t="s">
        <v>65</v>
      </c>
      <c r="G9" s="2" t="s">
        <v>66</v>
      </c>
      <c r="H9" s="2" t="s">
        <v>66</v>
      </c>
      <c r="I9" s="2" t="s">
        <v>67</v>
      </c>
    </row>
    <row r="10" customFormat="false" ht="15" hidden="false" customHeight="false" outlineLevel="0" collapsed="false">
      <c r="A10" s="2" t="s">
        <v>68</v>
      </c>
      <c r="B10" s="2" t="s">
        <v>69</v>
      </c>
      <c r="C10" s="2" t="s">
        <v>57</v>
      </c>
      <c r="D10" s="2" t="s">
        <v>58</v>
      </c>
      <c r="E10" s="2" t="n">
        <v>10</v>
      </c>
      <c r="F10" s="2" t="s">
        <v>70</v>
      </c>
      <c r="G10" s="2" t="s">
        <v>66</v>
      </c>
      <c r="H10" s="2" t="s">
        <v>66</v>
      </c>
      <c r="I10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16.15" hidden="false" customHeight="false" outlineLevel="0" collapsed="false">
      <c r="A1" s="4" t="s">
        <v>71</v>
      </c>
    </row>
    <row r="3" customFormat="false" ht="15" hidden="false" customHeight="false" outlineLevel="0" collapsed="false">
      <c r="A3" s="5" t="s">
        <v>72</v>
      </c>
      <c r="B3" s="5" t="s">
        <v>73</v>
      </c>
      <c r="C3" s="5" t="s">
        <v>74</v>
      </c>
      <c r="D3" s="5" t="s">
        <v>75</v>
      </c>
      <c r="E3" s="5" t="s">
        <v>76</v>
      </c>
    </row>
    <row r="4" customFormat="false" ht="15" hidden="false" customHeight="false" outlineLevel="0" collapsed="false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</row>
    <row r="5" customFormat="false" ht="15" hidden="false" customHeight="false" outlineLevel="0" collapsed="false">
      <c r="A5" s="2" t="s">
        <v>82</v>
      </c>
      <c r="B5" s="2" t="s">
        <v>83</v>
      </c>
      <c r="C5" s="2" t="s">
        <v>84</v>
      </c>
      <c r="D5" s="2" t="s">
        <v>81</v>
      </c>
      <c r="E5" s="2" t="s">
        <v>81</v>
      </c>
    </row>
    <row r="6" customFormat="false" ht="15" hidden="false" customHeight="false" outlineLevel="0" collapsed="false">
      <c r="A6" s="2" t="s">
        <v>85</v>
      </c>
      <c r="B6" s="2" t="s">
        <v>86</v>
      </c>
      <c r="C6" s="2" t="s">
        <v>87</v>
      </c>
      <c r="D6" s="2" t="s">
        <v>81</v>
      </c>
      <c r="E6" s="2" t="s">
        <v>81</v>
      </c>
    </row>
    <row r="7" customFormat="false" ht="15" hidden="false" customHeight="false" outlineLevel="0" collapsed="false">
      <c r="A7" s="2" t="s">
        <v>88</v>
      </c>
      <c r="B7" s="2" t="s">
        <v>89</v>
      </c>
      <c r="C7" s="2" t="s">
        <v>90</v>
      </c>
      <c r="D7" s="2" t="s">
        <v>81</v>
      </c>
      <c r="E7" s="2" t="s">
        <v>91</v>
      </c>
    </row>
    <row r="8" customFormat="false" ht="15" hidden="false" customHeight="false" outlineLevel="0" collapsed="false">
      <c r="A8" s="2" t="s">
        <v>92</v>
      </c>
      <c r="B8" s="2" t="s">
        <v>93</v>
      </c>
      <c r="C8" s="2" t="s">
        <v>81</v>
      </c>
      <c r="D8" s="2" t="s">
        <v>81</v>
      </c>
      <c r="E8" s="2" t="s">
        <v>94</v>
      </c>
    </row>
    <row r="9" customFormat="false" ht="15" hidden="false" customHeight="false" outlineLevel="0" collapsed="false">
      <c r="A9" s="2" t="s">
        <v>95</v>
      </c>
      <c r="B9" s="2" t="s">
        <v>96</v>
      </c>
      <c r="C9" s="2" t="s">
        <v>97</v>
      </c>
      <c r="D9" s="2" t="s">
        <v>98</v>
      </c>
      <c r="E9" s="2" t="s">
        <v>81</v>
      </c>
    </row>
    <row r="10" customFormat="false" ht="15" hidden="false" customHeight="false" outlineLevel="0" collapsed="false">
      <c r="A10" s="2" t="s">
        <v>99</v>
      </c>
      <c r="B10" s="2" t="s">
        <v>100</v>
      </c>
      <c r="C10" s="2" t="s">
        <v>101</v>
      </c>
      <c r="D10" s="2" t="s">
        <v>81</v>
      </c>
      <c r="E10" s="2" t="s">
        <v>81</v>
      </c>
    </row>
    <row r="11" customFormat="false" ht="15" hidden="false" customHeight="false" outlineLevel="0" collapsed="false">
      <c r="A11" s="2" t="s">
        <v>102</v>
      </c>
      <c r="B11" s="2" t="s">
        <v>103</v>
      </c>
      <c r="C11" s="2" t="s">
        <v>104</v>
      </c>
      <c r="D11" s="2" t="s">
        <v>81</v>
      </c>
      <c r="E11" s="2" t="s">
        <v>81</v>
      </c>
    </row>
    <row r="12" customFormat="false" ht="15" hidden="false" customHeight="false" outlineLevel="0" collapsed="false">
      <c r="A12" s="2" t="s">
        <v>105</v>
      </c>
      <c r="B12" s="2" t="s">
        <v>106</v>
      </c>
      <c r="C12" s="2" t="s">
        <v>107</v>
      </c>
      <c r="D12" s="2" t="s">
        <v>81</v>
      </c>
      <c r="E12" s="2" t="s">
        <v>81</v>
      </c>
    </row>
    <row r="13" customFormat="false" ht="15" hidden="false" customHeight="false" outlineLevel="0" collapsed="false">
      <c r="A13" s="2" t="s">
        <v>108</v>
      </c>
      <c r="B13" s="2" t="s">
        <v>109</v>
      </c>
      <c r="C13" s="2" t="s">
        <v>110</v>
      </c>
      <c r="D13" s="2" t="s">
        <v>81</v>
      </c>
      <c r="E13" s="2" t="s">
        <v>81</v>
      </c>
    </row>
    <row r="14" customFormat="false" ht="15" hidden="false" customHeight="false" outlineLevel="0" collapsed="false">
      <c r="A14" s="2" t="s">
        <v>111</v>
      </c>
      <c r="B14" s="2" t="s">
        <v>81</v>
      </c>
      <c r="C14" s="2" t="s">
        <v>112</v>
      </c>
      <c r="D14" s="2" t="s">
        <v>81</v>
      </c>
      <c r="E14" s="2" t="s">
        <v>81</v>
      </c>
    </row>
    <row r="15" customFormat="false" ht="15" hidden="false" customHeight="false" outlineLevel="0" collapsed="false">
      <c r="A15" s="2" t="s">
        <v>113</v>
      </c>
      <c r="B15" s="2" t="s">
        <v>114</v>
      </c>
      <c r="C15" s="2" t="s">
        <v>115</v>
      </c>
      <c r="D15" s="2" t="s">
        <v>81</v>
      </c>
      <c r="E15" s="2" t="s">
        <v>81</v>
      </c>
    </row>
    <row r="16" customFormat="false" ht="15" hidden="false" customHeight="false" outlineLevel="0" collapsed="false">
      <c r="A16" s="2" t="s">
        <v>116</v>
      </c>
      <c r="B16" s="2" t="s">
        <v>117</v>
      </c>
      <c r="C16" s="2" t="s">
        <v>118</v>
      </c>
      <c r="D16" s="2" t="s">
        <v>81</v>
      </c>
      <c r="E16" s="2" t="s">
        <v>81</v>
      </c>
    </row>
    <row r="17" customFormat="false" ht="15" hidden="false" customHeight="false" outlineLevel="0" collapsed="false">
      <c r="A17" s="2" t="s">
        <v>119</v>
      </c>
      <c r="B17" s="2" t="s">
        <v>120</v>
      </c>
      <c r="C17" s="2" t="s">
        <v>121</v>
      </c>
      <c r="D17" s="2" t="s">
        <v>81</v>
      </c>
      <c r="E17" s="2" t="s">
        <v>81</v>
      </c>
    </row>
    <row r="18" customFormat="false" ht="15" hidden="false" customHeight="false" outlineLevel="0" collapsed="false">
      <c r="A18" s="2" t="s">
        <v>122</v>
      </c>
      <c r="B18" s="2" t="s">
        <v>123</v>
      </c>
      <c r="C18" s="2" t="s">
        <v>124</v>
      </c>
      <c r="D18" s="2" t="s">
        <v>81</v>
      </c>
      <c r="E18" s="2" t="s">
        <v>81</v>
      </c>
    </row>
    <row r="19" customFormat="false" ht="15" hidden="false" customHeight="false" outlineLevel="0" collapsed="false">
      <c r="A19" s="2" t="s">
        <v>125</v>
      </c>
      <c r="B19" s="2" t="s">
        <v>81</v>
      </c>
      <c r="C19" s="2" t="s">
        <v>126</v>
      </c>
      <c r="D19" s="2" t="s">
        <v>81</v>
      </c>
      <c r="E19" s="2" t="s">
        <v>81</v>
      </c>
    </row>
    <row r="20" customFormat="false" ht="15" hidden="false" customHeight="false" outlineLevel="0" collapsed="false">
      <c r="A20" s="2" t="s">
        <v>127</v>
      </c>
      <c r="B20" s="2" t="s">
        <v>128</v>
      </c>
      <c r="C20" s="2" t="s">
        <v>129</v>
      </c>
      <c r="D20" s="2" t="s">
        <v>81</v>
      </c>
      <c r="E20" s="2" t="s">
        <v>81</v>
      </c>
    </row>
    <row r="21" customFormat="false" ht="15" hidden="false" customHeight="false" outlineLevel="0" collapsed="false">
      <c r="A21" s="2" t="s">
        <v>130</v>
      </c>
      <c r="B21" s="2" t="s">
        <v>81</v>
      </c>
      <c r="C21" s="2" t="s">
        <v>131</v>
      </c>
      <c r="D21" s="2" t="s">
        <v>81</v>
      </c>
      <c r="E21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8" min="5" style="0" width="12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5" min="13" style="0" width="14"/>
  </cols>
  <sheetData>
    <row r="1" customFormat="false" ht="16.15" hidden="false" customHeight="false" outlineLevel="0" collapsed="false">
      <c r="A1" s="4" t="s">
        <v>132</v>
      </c>
    </row>
    <row r="3" customFormat="false" ht="25.35" hidden="false" customHeight="false" outlineLevel="0" collapsed="false">
      <c r="A3" s="5" t="s">
        <v>16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137</v>
      </c>
      <c r="G3" s="5" t="s">
        <v>138</v>
      </c>
      <c r="H3" s="5" t="s">
        <v>139</v>
      </c>
      <c r="I3" s="5" t="s">
        <v>140</v>
      </c>
      <c r="J3" s="5" t="s">
        <v>141</v>
      </c>
      <c r="K3" s="5" t="s">
        <v>142</v>
      </c>
      <c r="L3" s="5" t="s">
        <v>143</v>
      </c>
      <c r="M3" s="5" t="s">
        <v>144</v>
      </c>
      <c r="N3" s="5" t="s">
        <v>145</v>
      </c>
      <c r="O3" s="5" t="s">
        <v>146</v>
      </c>
    </row>
    <row r="4" customFormat="false" ht="15" hidden="false" customHeight="false" outlineLevel="0" collapsed="false">
      <c r="A4" s="2" t="s">
        <v>147</v>
      </c>
      <c r="B4" s="6" t="n">
        <v>24</v>
      </c>
      <c r="C4" s="2" t="s">
        <v>148</v>
      </c>
      <c r="D4" s="6" t="n">
        <v>2976</v>
      </c>
      <c r="E4" s="7" t="n">
        <v>0</v>
      </c>
      <c r="F4" s="8" t="n">
        <v>-0.711596711047928</v>
      </c>
      <c r="G4" s="7" t="n">
        <v>0.711688304022569</v>
      </c>
      <c r="H4" s="7" t="n">
        <v>0.898596005844829</v>
      </c>
      <c r="I4" s="6" t="n">
        <v>858.232440070073</v>
      </c>
      <c r="J4" s="7" t="n">
        <v>0.011760752688172</v>
      </c>
      <c r="K4" s="7" t="n">
        <v>0.0480510752688172</v>
      </c>
      <c r="L4" s="7"/>
      <c r="M4" s="9"/>
      <c r="N4" s="7" t="n">
        <v>0.0118315462296881</v>
      </c>
      <c r="O4" s="7"/>
    </row>
    <row r="5" customFormat="false" ht="15" hidden="false" customHeight="false" outlineLevel="0" collapsed="false">
      <c r="A5" s="2" t="s">
        <v>147</v>
      </c>
      <c r="B5" s="6" t="n">
        <v>24</v>
      </c>
      <c r="C5" s="2" t="s">
        <v>149</v>
      </c>
      <c r="D5" s="6" t="n">
        <v>2976</v>
      </c>
      <c r="E5" s="7" t="n">
        <v>0</v>
      </c>
      <c r="F5" s="8" t="n">
        <v>-0.287003231016134</v>
      </c>
      <c r="G5" s="7" t="n">
        <v>0.43000676402735</v>
      </c>
      <c r="H5" s="7" t="n">
        <v>0.811044979509753</v>
      </c>
      <c r="I5" s="6" t="n">
        <v>345.481797288224</v>
      </c>
      <c r="J5" s="7" t="n">
        <v>0.115255376344086</v>
      </c>
      <c r="K5" s="7" t="n">
        <v>0.292002688172043</v>
      </c>
      <c r="L5" s="7"/>
      <c r="M5" s="9"/>
      <c r="N5" s="7" t="n">
        <v>0.0200907093638864</v>
      </c>
      <c r="O5" s="7"/>
    </row>
    <row r="6" customFormat="false" ht="15" hidden="false" customHeight="false" outlineLevel="0" collapsed="false">
      <c r="A6" s="2" t="s">
        <v>147</v>
      </c>
      <c r="B6" s="6" t="n">
        <v>24</v>
      </c>
      <c r="C6" s="2" t="s">
        <v>150</v>
      </c>
      <c r="D6" s="6" t="n">
        <v>2976</v>
      </c>
      <c r="E6" s="7" t="n">
        <v>0.0655241935483871</v>
      </c>
      <c r="F6" s="8" t="n">
        <v>-0.242334292249315</v>
      </c>
      <c r="G6" s="7" t="n">
        <v>0.405996259352052</v>
      </c>
      <c r="H6" s="7" t="n">
        <v>1.35796723759571</v>
      </c>
      <c r="I6" s="6" t="n">
        <v>313.997211565131</v>
      </c>
      <c r="J6" s="7" t="n">
        <v>0.114247311827957</v>
      </c>
      <c r="K6" s="7" t="n">
        <v>0.287970430107527</v>
      </c>
      <c r="L6" s="7"/>
      <c r="M6" s="9"/>
      <c r="N6" s="7" t="n">
        <v>0.0104893037325762</v>
      </c>
      <c r="O6" s="7"/>
    </row>
    <row r="7" customFormat="false" ht="15" hidden="false" customHeight="false" outlineLevel="0" collapsed="false">
      <c r="A7" s="2" t="s">
        <v>147</v>
      </c>
      <c r="B7" s="6" t="n">
        <v>24</v>
      </c>
      <c r="C7" s="2" t="s">
        <v>151</v>
      </c>
      <c r="D7" s="6" t="n">
        <v>2976</v>
      </c>
      <c r="E7" s="7" t="n">
        <v>0.0655241935483871</v>
      </c>
      <c r="F7" s="8" t="n">
        <v>0.225980589765664</v>
      </c>
      <c r="G7" s="7" t="n">
        <v>0.466248239296132</v>
      </c>
      <c r="H7" s="7" t="n">
        <v>1.55608168757722</v>
      </c>
      <c r="I7" s="6" t="n">
        <v>367.004482241427</v>
      </c>
      <c r="J7" s="7" t="n">
        <v>0.114247311827957</v>
      </c>
      <c r="K7" s="7" t="n">
        <v>0.276881720430108</v>
      </c>
      <c r="L7" s="7"/>
      <c r="M7" s="9"/>
      <c r="N7" s="7" t="n">
        <v>0.0495600086790581</v>
      </c>
      <c r="O7" s="7"/>
    </row>
    <row r="8" customFormat="false" ht="15" hidden="false" customHeight="false" outlineLevel="0" collapsed="false">
      <c r="A8" s="2" t="s">
        <v>147</v>
      </c>
      <c r="B8" s="6" t="n">
        <v>24</v>
      </c>
      <c r="C8" s="2" t="s">
        <v>152</v>
      </c>
      <c r="D8" s="6" t="n">
        <v>2976</v>
      </c>
      <c r="E8" s="7" t="n">
        <v>0.0655241935483871</v>
      </c>
      <c r="F8" s="8" t="n">
        <v>0.516002582308937</v>
      </c>
      <c r="G8" s="7" t="n">
        <v>0.659028154531912</v>
      </c>
      <c r="H8" s="7" t="n">
        <v>2.34766296003007</v>
      </c>
      <c r="I8" s="6" t="n">
        <v>560.397484410965</v>
      </c>
      <c r="J8" s="7" t="n">
        <v>0.0789650537634408</v>
      </c>
      <c r="K8" s="7" t="n">
        <v>0.194220430107527</v>
      </c>
      <c r="L8" s="7"/>
      <c r="M8" s="9"/>
      <c r="N8" s="7" t="n">
        <v>0.0269543316712429</v>
      </c>
      <c r="O8" s="7"/>
    </row>
    <row r="9" customFormat="false" ht="15" hidden="false" customHeight="false" outlineLevel="0" collapsed="false">
      <c r="A9" s="2" t="s">
        <v>147</v>
      </c>
      <c r="B9" s="6" t="n">
        <v>24</v>
      </c>
      <c r="C9" s="2" t="s">
        <v>153</v>
      </c>
      <c r="D9" s="6" t="n">
        <v>2976</v>
      </c>
      <c r="E9" s="7" t="n">
        <v>0</v>
      </c>
      <c r="F9" s="8" t="n">
        <v>-0.0013733464280354</v>
      </c>
      <c r="G9" s="7" t="n">
        <v>0.174951054510989</v>
      </c>
      <c r="H9" s="7" t="n">
        <v>0.468362881523402</v>
      </c>
      <c r="I9" s="6" t="n">
        <v>150.215447937226</v>
      </c>
      <c r="J9" s="7" t="n">
        <v>0.300739247311828</v>
      </c>
      <c r="K9" s="7" t="n">
        <v>0.654569892473118</v>
      </c>
      <c r="L9" s="7"/>
      <c r="M9" s="9"/>
      <c r="N9" s="7" t="n">
        <v>0.0029155626394211</v>
      </c>
      <c r="O9" s="7"/>
    </row>
    <row r="10" customFormat="false" ht="15" hidden="false" customHeight="false" outlineLevel="0" collapsed="false">
      <c r="A10" s="2" t="s">
        <v>147</v>
      </c>
      <c r="B10" s="6" t="n">
        <v>24</v>
      </c>
      <c r="C10" s="2" t="s">
        <v>154</v>
      </c>
      <c r="D10" s="6" t="n">
        <v>2976</v>
      </c>
      <c r="E10" s="7" t="n">
        <v>0</v>
      </c>
      <c r="F10" s="8" t="n">
        <v>0.0012110684959076</v>
      </c>
      <c r="G10" s="7" t="n">
        <v>0.158603182272583</v>
      </c>
      <c r="H10" s="7" t="n">
        <v>0.426263794225061</v>
      </c>
      <c r="I10" s="6" t="n">
        <v>129.356936536121</v>
      </c>
      <c r="J10" s="7" t="n">
        <v>0.341733870967742</v>
      </c>
      <c r="K10" s="7" t="n">
        <v>0.699932795698925</v>
      </c>
      <c r="L10" s="7"/>
      <c r="M10" s="9"/>
      <c r="N10" s="7" t="n">
        <v>0.00769527027990966</v>
      </c>
      <c r="O10" s="7"/>
    </row>
    <row r="11" customFormat="false" ht="15" hidden="false" customHeight="false" outlineLevel="0" collapsed="false">
      <c r="A11" s="2" t="s">
        <v>147</v>
      </c>
      <c r="B11" s="6" t="n">
        <v>24</v>
      </c>
      <c r="C11" s="2" t="s">
        <v>155</v>
      </c>
      <c r="D11" s="6" t="n">
        <v>2976</v>
      </c>
      <c r="E11" s="7"/>
      <c r="F11" s="8"/>
      <c r="G11" s="7"/>
      <c r="H11" s="7"/>
      <c r="I11" s="6"/>
      <c r="J11" s="7"/>
      <c r="K11" s="7"/>
      <c r="L11" s="7" t="n">
        <v>0.800403225806452</v>
      </c>
      <c r="M11" s="9" t="n">
        <v>0.665034288831867</v>
      </c>
      <c r="N11" s="7"/>
      <c r="O11" s="7" t="n">
        <v>0.0251335929811206</v>
      </c>
    </row>
    <row r="12" customFormat="false" ht="15" hidden="false" customHeight="false" outlineLevel="0" collapsed="false">
      <c r="A12" s="2" t="s">
        <v>147</v>
      </c>
      <c r="B12" s="6" t="n">
        <v>72</v>
      </c>
      <c r="C12" s="2" t="s">
        <v>148</v>
      </c>
      <c r="D12" s="6" t="n">
        <v>2981</v>
      </c>
      <c r="E12" s="7" t="n">
        <v>0</v>
      </c>
      <c r="F12" s="8" t="n">
        <v>-0.578910098855146</v>
      </c>
      <c r="G12" s="7" t="n">
        <v>0.583507377869446</v>
      </c>
      <c r="H12" s="7" t="n">
        <v>0.826100040119706</v>
      </c>
      <c r="I12" s="6" t="n">
        <v>695.393631046722</v>
      </c>
      <c r="J12" s="7" t="n">
        <v>0.0486413955048641</v>
      </c>
      <c r="K12" s="7" t="n">
        <v>0.125461254612546</v>
      </c>
      <c r="L12" s="7"/>
      <c r="M12" s="9"/>
      <c r="N12" s="7" t="n">
        <v>0.014172993485983</v>
      </c>
      <c r="O12" s="7"/>
    </row>
    <row r="13" customFormat="false" ht="15" hidden="false" customHeight="false" outlineLevel="0" collapsed="false">
      <c r="A13" s="2" t="s">
        <v>147</v>
      </c>
      <c r="B13" s="6" t="n">
        <v>72</v>
      </c>
      <c r="C13" s="2" t="s">
        <v>149</v>
      </c>
      <c r="D13" s="6" t="n">
        <v>2981</v>
      </c>
      <c r="E13" s="7" t="n">
        <v>0</v>
      </c>
      <c r="F13" s="8" t="n">
        <v>-0.115094197099</v>
      </c>
      <c r="G13" s="7" t="n">
        <v>0.375855586439774</v>
      </c>
      <c r="H13" s="7" t="n">
        <v>0.972164731008018</v>
      </c>
      <c r="I13" s="6" t="n">
        <v>212.344989029367</v>
      </c>
      <c r="J13" s="7" t="n">
        <v>0.128144917812814</v>
      </c>
      <c r="K13" s="7" t="n">
        <v>0.337135189533714</v>
      </c>
      <c r="L13" s="7"/>
      <c r="M13" s="9"/>
      <c r="N13" s="7" t="n">
        <v>0.0117240226467364</v>
      </c>
      <c r="O13" s="7"/>
    </row>
    <row r="14" customFormat="false" ht="15" hidden="false" customHeight="false" outlineLevel="0" collapsed="false">
      <c r="A14" s="2" t="s">
        <v>147</v>
      </c>
      <c r="B14" s="6" t="n">
        <v>72</v>
      </c>
      <c r="C14" s="2" t="s">
        <v>150</v>
      </c>
      <c r="D14" s="6" t="n">
        <v>2981</v>
      </c>
      <c r="E14" s="7" t="n">
        <v>0.0694397853069439</v>
      </c>
      <c r="F14" s="8" t="n">
        <v>-0.234283423559406</v>
      </c>
      <c r="G14" s="7" t="n">
        <v>0.409380352081047</v>
      </c>
      <c r="H14" s="7" t="n">
        <v>1.47827901860425</v>
      </c>
      <c r="I14" s="6" t="n">
        <v>316.430999006002</v>
      </c>
      <c r="J14" s="7" t="n">
        <v>0.111372022811137</v>
      </c>
      <c r="K14" s="7" t="n">
        <v>0.279436430727944</v>
      </c>
      <c r="L14" s="7"/>
      <c r="M14" s="9"/>
      <c r="N14" s="7" t="n">
        <v>0.0128546730973078</v>
      </c>
      <c r="O14" s="7"/>
    </row>
    <row r="15" customFormat="false" ht="15" hidden="false" customHeight="false" outlineLevel="0" collapsed="false">
      <c r="A15" s="2" t="s">
        <v>147</v>
      </c>
      <c r="B15" s="6" t="n">
        <v>72</v>
      </c>
      <c r="C15" s="2" t="s">
        <v>151</v>
      </c>
      <c r="D15" s="6" t="n">
        <v>2981</v>
      </c>
      <c r="E15" s="7" t="n">
        <v>0.0697752432069775</v>
      </c>
      <c r="F15" s="8" t="n">
        <v>0.0231898511149563</v>
      </c>
      <c r="G15" s="7" t="n">
        <v>0.365004515109003</v>
      </c>
      <c r="H15" s="7" t="n">
        <v>0.972873768257102</v>
      </c>
      <c r="I15" s="6" t="n">
        <v>278.135646414672</v>
      </c>
      <c r="J15" s="7" t="n">
        <v>0.133847702113385</v>
      </c>
      <c r="K15" s="7" t="n">
        <v>0.339147936933915</v>
      </c>
      <c r="L15" s="7"/>
      <c r="M15" s="9"/>
      <c r="N15" s="7" t="n">
        <v>0.0261820073844356</v>
      </c>
      <c r="O15" s="7"/>
    </row>
    <row r="16" customFormat="false" ht="15" hidden="false" customHeight="false" outlineLevel="0" collapsed="false">
      <c r="A16" s="2" t="s">
        <v>147</v>
      </c>
      <c r="B16" s="6" t="n">
        <v>72</v>
      </c>
      <c r="C16" s="2" t="s">
        <v>152</v>
      </c>
      <c r="D16" s="6" t="n">
        <v>2981</v>
      </c>
      <c r="E16" s="7" t="n">
        <v>0.0694397853069439</v>
      </c>
      <c r="F16" s="8" t="n">
        <v>0.376644209895977</v>
      </c>
      <c r="G16" s="7" t="n">
        <v>0.533297080699879</v>
      </c>
      <c r="H16" s="7" t="n">
        <v>1.72862819428479</v>
      </c>
      <c r="I16" s="6" t="n">
        <v>414.444831641998</v>
      </c>
      <c r="J16" s="7" t="n">
        <v>0.10030191211003</v>
      </c>
      <c r="K16" s="7" t="n">
        <v>0.237168735323717</v>
      </c>
      <c r="L16" s="7"/>
      <c r="M16" s="9"/>
      <c r="N16" s="7" t="n">
        <v>0.0299574323325821</v>
      </c>
      <c r="O16" s="7"/>
    </row>
    <row r="17" customFormat="false" ht="15" hidden="false" customHeight="false" outlineLevel="0" collapsed="false">
      <c r="A17" s="2" t="s">
        <v>147</v>
      </c>
      <c r="B17" s="6" t="n">
        <v>72</v>
      </c>
      <c r="C17" s="2" t="s">
        <v>153</v>
      </c>
      <c r="D17" s="6" t="n">
        <v>2981</v>
      </c>
      <c r="E17" s="7" t="n">
        <v>0</v>
      </c>
      <c r="F17" s="8" t="n">
        <v>0.0088045793021174</v>
      </c>
      <c r="G17" s="7" t="n">
        <v>0.157079856532848</v>
      </c>
      <c r="H17" s="7" t="n">
        <v>0.422954070283764</v>
      </c>
      <c r="I17" s="6" t="n">
        <v>128.020235656723</v>
      </c>
      <c r="J17" s="7" t="n">
        <v>0.341831600134183</v>
      </c>
      <c r="K17" s="7" t="n">
        <v>0.697752432069775</v>
      </c>
      <c r="L17" s="7"/>
      <c r="M17" s="9"/>
      <c r="N17" s="7" t="n">
        <v>0.00714179231968363</v>
      </c>
      <c r="O17" s="7"/>
    </row>
    <row r="18" customFormat="false" ht="15" hidden="false" customHeight="false" outlineLevel="0" collapsed="false">
      <c r="A18" s="2" t="s">
        <v>147</v>
      </c>
      <c r="B18" s="6" t="n">
        <v>72</v>
      </c>
      <c r="C18" s="2" t="s">
        <v>154</v>
      </c>
      <c r="D18" s="6" t="n">
        <v>2981</v>
      </c>
      <c r="E18" s="7" t="n">
        <v>0</v>
      </c>
      <c r="F18" s="8" t="n">
        <v>0.0025850043501069</v>
      </c>
      <c r="G18" s="7" t="n">
        <v>0.143923936978947</v>
      </c>
      <c r="H18" s="7" t="n">
        <v>0.401786361330196</v>
      </c>
      <c r="I18" s="6" t="n">
        <v>119.89619044132</v>
      </c>
      <c r="J18" s="7" t="n">
        <v>0.365649111036565</v>
      </c>
      <c r="K18" s="7" t="n">
        <v>0.743039248574304</v>
      </c>
      <c r="L18" s="7"/>
      <c r="M18" s="9"/>
      <c r="N18" s="7" t="n">
        <v>0.00396421984674206</v>
      </c>
      <c r="O18" s="7"/>
    </row>
    <row r="19" customFormat="false" ht="15" hidden="false" customHeight="false" outlineLevel="0" collapsed="false">
      <c r="A19" s="2" t="s">
        <v>147</v>
      </c>
      <c r="B19" s="6" t="n">
        <v>72</v>
      </c>
      <c r="C19" s="2" t="s">
        <v>155</v>
      </c>
      <c r="D19" s="6" t="n">
        <v>2981</v>
      </c>
      <c r="E19" s="7"/>
      <c r="F19" s="8"/>
      <c r="G19" s="7"/>
      <c r="H19" s="7"/>
      <c r="I19" s="6"/>
      <c r="J19" s="7"/>
      <c r="K19" s="7"/>
      <c r="L19" s="7" t="n">
        <v>0.800738007380074</v>
      </c>
      <c r="M19" s="9" t="n">
        <v>0.62090438282208</v>
      </c>
      <c r="N19" s="7"/>
      <c r="O19" s="7" t="n">
        <v>0.0234882474507482</v>
      </c>
    </row>
    <row r="20" customFormat="false" ht="15" hidden="false" customHeight="false" outlineLevel="0" collapsed="false">
      <c r="A20" s="2" t="s">
        <v>147</v>
      </c>
      <c r="B20" s="6" t="n">
        <v>168</v>
      </c>
      <c r="C20" s="2" t="s">
        <v>148</v>
      </c>
      <c r="D20" s="6" t="n">
        <v>2985</v>
      </c>
      <c r="E20" s="7" t="n">
        <v>0</v>
      </c>
      <c r="F20" s="8" t="n">
        <v>-0.448885428257195</v>
      </c>
      <c r="G20" s="7" t="n">
        <v>0.473382996492191</v>
      </c>
      <c r="H20" s="7" t="n">
        <v>0.762571467576399</v>
      </c>
      <c r="I20" s="6" t="n">
        <v>530.61265173909</v>
      </c>
      <c r="J20" s="7" t="n">
        <v>0.069681742043551</v>
      </c>
      <c r="K20" s="7" t="n">
        <v>0.201675041876047</v>
      </c>
      <c r="L20" s="7"/>
      <c r="M20" s="9"/>
      <c r="N20" s="7" t="n">
        <v>0.0143864170320173</v>
      </c>
      <c r="O20" s="7"/>
    </row>
    <row r="21" customFormat="false" ht="15" hidden="false" customHeight="false" outlineLevel="0" collapsed="false">
      <c r="A21" s="2" t="s">
        <v>147</v>
      </c>
      <c r="B21" s="6" t="n">
        <v>168</v>
      </c>
      <c r="C21" s="2" t="s">
        <v>149</v>
      </c>
      <c r="D21" s="6" t="n">
        <v>2985</v>
      </c>
      <c r="E21" s="7" t="n">
        <v>0</v>
      </c>
      <c r="F21" s="8" t="n">
        <v>0.0210060617778209</v>
      </c>
      <c r="G21" s="7" t="n">
        <v>0.365593301942151</v>
      </c>
      <c r="H21" s="7" t="n">
        <v>1.30990815632978</v>
      </c>
      <c r="I21" s="6" t="n">
        <v>214.72570029869</v>
      </c>
      <c r="J21" s="7" t="n">
        <v>0.146398659966499</v>
      </c>
      <c r="K21" s="7" t="n">
        <v>0.360804020100503</v>
      </c>
      <c r="L21" s="7"/>
      <c r="M21" s="9"/>
      <c r="N21" s="7" t="n">
        <v>0.0186593706383317</v>
      </c>
      <c r="O21" s="7"/>
    </row>
    <row r="22" customFormat="false" ht="15" hidden="false" customHeight="false" outlineLevel="0" collapsed="false">
      <c r="A22" s="2" t="s">
        <v>147</v>
      </c>
      <c r="B22" s="6" t="n">
        <v>168</v>
      </c>
      <c r="C22" s="2" t="s">
        <v>150</v>
      </c>
      <c r="D22" s="6" t="n">
        <v>2985</v>
      </c>
      <c r="E22" s="7" t="n">
        <v>0.0710217755443886</v>
      </c>
      <c r="F22" s="8" t="n">
        <v>-0.233555835810088</v>
      </c>
      <c r="G22" s="7" t="n">
        <v>0.411723597514947</v>
      </c>
      <c r="H22" s="7" t="n">
        <v>1.40354416532303</v>
      </c>
      <c r="I22" s="6" t="n">
        <v>311.013209840802</v>
      </c>
      <c r="J22" s="7" t="n">
        <v>0.108542713567839</v>
      </c>
      <c r="K22" s="7" t="n">
        <v>0.282747068676717</v>
      </c>
      <c r="L22" s="7"/>
      <c r="M22" s="9"/>
      <c r="N22" s="7" t="n">
        <v>0.0164238489448928</v>
      </c>
      <c r="O22" s="7"/>
    </row>
    <row r="23" customFormat="false" ht="15" hidden="false" customHeight="false" outlineLevel="0" collapsed="false">
      <c r="A23" s="2" t="s">
        <v>147</v>
      </c>
      <c r="B23" s="6" t="n">
        <v>168</v>
      </c>
      <c r="C23" s="2" t="s">
        <v>151</v>
      </c>
      <c r="D23" s="6" t="n">
        <v>2985</v>
      </c>
      <c r="E23" s="7" t="n">
        <v>0.0710217755443886</v>
      </c>
      <c r="F23" s="8" t="n">
        <v>-0.124999605035558</v>
      </c>
      <c r="G23" s="7" t="n">
        <v>0.331433792003822</v>
      </c>
      <c r="H23" s="7" t="n">
        <v>0.787042429656871</v>
      </c>
      <c r="I23" s="6" t="n">
        <v>257.239722307838</v>
      </c>
      <c r="J23" s="7" t="n">
        <v>0.151758793969849</v>
      </c>
      <c r="K23" s="7" t="n">
        <v>0.359463986599665</v>
      </c>
      <c r="L23" s="7"/>
      <c r="M23" s="9"/>
      <c r="N23" s="7" t="n">
        <v>0.0168827340501525</v>
      </c>
      <c r="O23" s="7"/>
    </row>
    <row r="24" customFormat="false" ht="15" hidden="false" customHeight="false" outlineLevel="0" collapsed="false">
      <c r="A24" s="2" t="s">
        <v>147</v>
      </c>
      <c r="B24" s="6" t="n">
        <v>168</v>
      </c>
      <c r="C24" s="2" t="s">
        <v>152</v>
      </c>
      <c r="D24" s="6" t="n">
        <v>2985</v>
      </c>
      <c r="E24" s="7" t="n">
        <v>0.0710217755443886</v>
      </c>
      <c r="F24" s="8" t="n">
        <v>0.275449753581369</v>
      </c>
      <c r="G24" s="7" t="n">
        <v>0.454428294275284</v>
      </c>
      <c r="H24" s="7" t="n">
        <v>1.42066318966653</v>
      </c>
      <c r="I24" s="6" t="n">
        <v>334.135261282642</v>
      </c>
      <c r="J24" s="7" t="n">
        <v>0.124623115577889</v>
      </c>
      <c r="K24" s="7" t="n">
        <v>0.290787269681742</v>
      </c>
      <c r="L24" s="7"/>
      <c r="M24" s="9"/>
      <c r="N24" s="7" t="n">
        <v>0.0403195920522318</v>
      </c>
      <c r="O24" s="7"/>
    </row>
    <row r="25" customFormat="false" ht="15" hidden="false" customHeight="false" outlineLevel="0" collapsed="false">
      <c r="A25" s="2" t="s">
        <v>147</v>
      </c>
      <c r="B25" s="6" t="n">
        <v>168</v>
      </c>
      <c r="C25" s="2" t="s">
        <v>153</v>
      </c>
      <c r="D25" s="6" t="n">
        <v>2985</v>
      </c>
      <c r="E25" s="7" t="n">
        <v>0</v>
      </c>
      <c r="F25" s="8" t="n">
        <v>0.0112237970559694</v>
      </c>
      <c r="G25" s="7" t="n">
        <v>0.147333906840999</v>
      </c>
      <c r="H25" s="7" t="n">
        <v>0.398548563940201</v>
      </c>
      <c r="I25" s="6" t="n">
        <v>119.371066568051</v>
      </c>
      <c r="J25" s="7" t="n">
        <v>0.364489112227806</v>
      </c>
      <c r="K25" s="7" t="n">
        <v>0.742043551088777</v>
      </c>
      <c r="L25" s="7"/>
      <c r="M25" s="9"/>
      <c r="N25" s="7" t="n">
        <v>0.00537261939220164</v>
      </c>
      <c r="O25" s="7"/>
    </row>
    <row r="26" customFormat="false" ht="15" hidden="false" customHeight="false" outlineLevel="0" collapsed="false">
      <c r="A26" s="2" t="s">
        <v>147</v>
      </c>
      <c r="B26" s="6" t="n">
        <v>168</v>
      </c>
      <c r="C26" s="2" t="s">
        <v>154</v>
      </c>
      <c r="D26" s="6" t="n">
        <v>2985</v>
      </c>
      <c r="E26" s="7" t="n">
        <v>0</v>
      </c>
      <c r="F26" s="8" t="n">
        <v>0.0079875447877972</v>
      </c>
      <c r="G26" s="7" t="n">
        <v>0.138941704121475</v>
      </c>
      <c r="H26" s="7" t="n">
        <v>0.378590335688594</v>
      </c>
      <c r="I26" s="6" t="n">
        <v>112.163919697416</v>
      </c>
      <c r="J26" s="7" t="n">
        <v>0.381574539363484</v>
      </c>
      <c r="K26" s="7" t="n">
        <v>0.751758793969849</v>
      </c>
      <c r="L26" s="7"/>
      <c r="M26" s="9"/>
      <c r="N26" s="7" t="n">
        <v>0.00771349188460893</v>
      </c>
      <c r="O26" s="7"/>
    </row>
    <row r="27" customFormat="false" ht="15" hidden="false" customHeight="false" outlineLevel="0" collapsed="false">
      <c r="A27" s="2" t="s">
        <v>147</v>
      </c>
      <c r="B27" s="6" t="n">
        <v>168</v>
      </c>
      <c r="C27" s="2" t="s">
        <v>155</v>
      </c>
      <c r="D27" s="6" t="n">
        <v>2985</v>
      </c>
      <c r="E27" s="7"/>
      <c r="F27" s="8"/>
      <c r="G27" s="7"/>
      <c r="H27" s="7"/>
      <c r="I27" s="6"/>
      <c r="J27" s="7"/>
      <c r="K27" s="7"/>
      <c r="L27" s="7" t="n">
        <v>0.819095477386935</v>
      </c>
      <c r="M27" s="9" t="n">
        <v>0.614221080418289</v>
      </c>
      <c r="N27" s="7"/>
      <c r="O27" s="7" t="n">
        <v>0.0242447484524792</v>
      </c>
    </row>
    <row r="28" customFormat="false" ht="15" hidden="false" customHeight="false" outlineLevel="0" collapsed="false">
      <c r="A28" s="2" t="s">
        <v>156</v>
      </c>
      <c r="B28" s="6" t="n">
        <v>24</v>
      </c>
      <c r="C28" s="2" t="s">
        <v>148</v>
      </c>
      <c r="D28" s="6" t="n">
        <v>160</v>
      </c>
      <c r="E28" s="7" t="n">
        <v>0</v>
      </c>
      <c r="F28" s="8" t="n">
        <v>-0.789502825958564</v>
      </c>
      <c r="G28" s="7" t="n">
        <v>0.789502825958564</v>
      </c>
      <c r="H28" s="7" t="n">
        <v>0.92671901762866</v>
      </c>
      <c r="I28" s="6" t="n">
        <v>1086.52434658145</v>
      </c>
      <c r="J28" s="7" t="n">
        <v>0</v>
      </c>
      <c r="K28" s="7" t="n">
        <v>0</v>
      </c>
      <c r="L28" s="7"/>
      <c r="M28" s="9"/>
      <c r="N28" s="7"/>
      <c r="O28" s="7"/>
    </row>
    <row r="29" customFormat="false" ht="15" hidden="false" customHeight="false" outlineLevel="0" collapsed="false">
      <c r="A29" s="2" t="s">
        <v>156</v>
      </c>
      <c r="B29" s="6" t="n">
        <v>24</v>
      </c>
      <c r="C29" s="2" t="s">
        <v>149</v>
      </c>
      <c r="D29" s="6" t="n">
        <v>160</v>
      </c>
      <c r="E29" s="7" t="n">
        <v>0</v>
      </c>
      <c r="F29" s="8" t="n">
        <v>-0.512059466767565</v>
      </c>
      <c r="G29" s="7" t="n">
        <v>0.512059466767565</v>
      </c>
      <c r="H29" s="7" t="n">
        <v>0.807194750325651</v>
      </c>
      <c r="I29" s="6" t="n">
        <v>690.125873006518</v>
      </c>
      <c r="J29" s="7" t="n">
        <v>0.075</v>
      </c>
      <c r="K29" s="7" t="n">
        <v>0.2125</v>
      </c>
      <c r="L29" s="7"/>
      <c r="M29" s="9"/>
      <c r="N29" s="7"/>
      <c r="O29" s="7"/>
    </row>
    <row r="30" customFormat="false" ht="15" hidden="false" customHeight="false" outlineLevel="0" collapsed="false">
      <c r="A30" s="2" t="s">
        <v>156</v>
      </c>
      <c r="B30" s="6" t="n">
        <v>24</v>
      </c>
      <c r="C30" s="2" t="s">
        <v>150</v>
      </c>
      <c r="D30" s="6" t="n">
        <v>160</v>
      </c>
      <c r="E30" s="7" t="n">
        <v>0.06875</v>
      </c>
      <c r="F30" s="8" t="n">
        <v>-0.0238716913445402</v>
      </c>
      <c r="G30" s="7" t="n">
        <v>0.398800152518237</v>
      </c>
      <c r="H30" s="7" t="n">
        <v>2.04507986300295</v>
      </c>
      <c r="I30" s="6" t="n">
        <v>491.569348855189</v>
      </c>
      <c r="J30" s="7" t="n">
        <v>0.125</v>
      </c>
      <c r="K30" s="7" t="n">
        <v>0.325</v>
      </c>
      <c r="L30" s="7"/>
      <c r="M30" s="9"/>
      <c r="N30" s="7"/>
      <c r="O30" s="7"/>
    </row>
    <row r="31" customFormat="false" ht="15" hidden="false" customHeight="false" outlineLevel="0" collapsed="false">
      <c r="A31" s="2" t="s">
        <v>156</v>
      </c>
      <c r="B31" s="6" t="n">
        <v>24</v>
      </c>
      <c r="C31" s="2" t="s">
        <v>151</v>
      </c>
      <c r="D31" s="6" t="n">
        <v>160</v>
      </c>
      <c r="E31" s="7" t="n">
        <v>0.06875</v>
      </c>
      <c r="F31" s="8" t="n">
        <v>0.131032925248632</v>
      </c>
      <c r="G31" s="7" t="n">
        <v>0.479858679477447</v>
      </c>
      <c r="H31" s="7" t="n">
        <v>1.12999884122618</v>
      </c>
      <c r="I31" s="6" t="n">
        <v>631.804619927985</v>
      </c>
      <c r="J31" s="7" t="n">
        <v>0.0625</v>
      </c>
      <c r="K31" s="7" t="n">
        <v>0.2125</v>
      </c>
      <c r="L31" s="7"/>
      <c r="M31" s="9"/>
      <c r="N31" s="7"/>
      <c r="O31" s="7"/>
    </row>
    <row r="32" customFormat="false" ht="15" hidden="false" customHeight="false" outlineLevel="0" collapsed="false">
      <c r="A32" s="2" t="s">
        <v>156</v>
      </c>
      <c r="B32" s="6" t="n">
        <v>24</v>
      </c>
      <c r="C32" s="2" t="s">
        <v>152</v>
      </c>
      <c r="D32" s="6" t="n">
        <v>160</v>
      </c>
      <c r="E32" s="7" t="n">
        <v>0.06875</v>
      </c>
      <c r="F32" s="8" t="n">
        <v>0.36357577785121</v>
      </c>
      <c r="G32" s="7" t="n">
        <v>0.620808282530632</v>
      </c>
      <c r="H32" s="7" t="n">
        <v>2.19050757549393</v>
      </c>
      <c r="I32" s="6" t="n">
        <v>718.301045852908</v>
      </c>
      <c r="J32" s="7" t="n">
        <v>0.075</v>
      </c>
      <c r="K32" s="7" t="n">
        <v>0.2</v>
      </c>
      <c r="L32" s="7"/>
      <c r="M32" s="9"/>
      <c r="N32" s="7"/>
      <c r="O32" s="7"/>
    </row>
    <row r="33" customFormat="false" ht="15" hidden="false" customHeight="false" outlineLevel="0" collapsed="false">
      <c r="A33" s="2" t="s">
        <v>156</v>
      </c>
      <c r="B33" s="6" t="n">
        <v>24</v>
      </c>
      <c r="C33" s="2" t="s">
        <v>153</v>
      </c>
      <c r="D33" s="6" t="n">
        <v>160</v>
      </c>
      <c r="E33" s="7" t="n">
        <v>0</v>
      </c>
      <c r="F33" s="8" t="n">
        <v>-0.133024853841286</v>
      </c>
      <c r="G33" s="7" t="n">
        <v>0.316393179513665</v>
      </c>
      <c r="H33" s="7" t="n">
        <v>0.56154499942818</v>
      </c>
      <c r="I33" s="6" t="n">
        <v>293.638283048018</v>
      </c>
      <c r="J33" s="7" t="n">
        <v>0.16875</v>
      </c>
      <c r="K33" s="7" t="n">
        <v>0.4125</v>
      </c>
      <c r="L33" s="7"/>
      <c r="M33" s="9"/>
      <c r="N33" s="7"/>
      <c r="O33" s="7"/>
    </row>
    <row r="34" customFormat="false" ht="15" hidden="false" customHeight="false" outlineLevel="0" collapsed="false">
      <c r="A34" s="2" t="s">
        <v>156</v>
      </c>
      <c r="B34" s="6" t="n">
        <v>24</v>
      </c>
      <c r="C34" s="2" t="s">
        <v>154</v>
      </c>
      <c r="D34" s="6" t="n">
        <v>160</v>
      </c>
      <c r="E34" s="7" t="n">
        <v>0</v>
      </c>
      <c r="F34" s="8" t="n">
        <v>0.0171059292721176</v>
      </c>
      <c r="G34" s="7" t="n">
        <v>0.269384453094046</v>
      </c>
      <c r="H34" s="7" t="n">
        <v>0.701327957223302</v>
      </c>
      <c r="I34" s="6" t="n">
        <v>339.714530093667</v>
      </c>
      <c r="J34" s="7" t="n">
        <v>0.1875</v>
      </c>
      <c r="K34" s="7" t="n">
        <v>0.45625</v>
      </c>
      <c r="L34" s="7"/>
      <c r="M34" s="9"/>
      <c r="N34" s="7"/>
      <c r="O34" s="7"/>
    </row>
    <row r="35" customFormat="false" ht="15" hidden="false" customHeight="false" outlineLevel="0" collapsed="false">
      <c r="A35" s="2" t="s">
        <v>156</v>
      </c>
      <c r="B35" s="6" t="n">
        <v>24</v>
      </c>
      <c r="C35" s="2" t="s">
        <v>155</v>
      </c>
      <c r="D35" s="6" t="n">
        <v>160</v>
      </c>
      <c r="E35" s="7"/>
      <c r="F35" s="8"/>
      <c r="G35" s="7"/>
      <c r="H35" s="7"/>
      <c r="I35" s="6"/>
      <c r="J35" s="7"/>
      <c r="K35" s="7"/>
      <c r="L35" s="7" t="n">
        <v>0.64375</v>
      </c>
      <c r="M35" s="9" t="n">
        <v>0.639771321539689</v>
      </c>
      <c r="N35" s="7"/>
      <c r="O35" s="7"/>
    </row>
    <row r="36" customFormat="false" ht="15" hidden="false" customHeight="false" outlineLevel="0" collapsed="false">
      <c r="A36" s="2" t="s">
        <v>156</v>
      </c>
      <c r="B36" s="6" t="n">
        <v>72</v>
      </c>
      <c r="C36" s="2" t="s">
        <v>148</v>
      </c>
      <c r="D36" s="6" t="n">
        <v>160</v>
      </c>
      <c r="E36" s="7" t="n">
        <v>0</v>
      </c>
      <c r="F36" s="8" t="n">
        <v>-0.693711892252669</v>
      </c>
      <c r="G36" s="7" t="n">
        <v>0.693711892252669</v>
      </c>
      <c r="H36" s="7" t="n">
        <v>0.871335796494715</v>
      </c>
      <c r="I36" s="6" t="n">
        <v>961.492283445248</v>
      </c>
      <c r="J36" s="7" t="n">
        <v>0.00625</v>
      </c>
      <c r="K36" s="7" t="n">
        <v>0.025</v>
      </c>
      <c r="L36" s="7"/>
      <c r="M36" s="9"/>
      <c r="N36" s="7"/>
      <c r="O36" s="7"/>
    </row>
    <row r="37" customFormat="false" ht="15" hidden="false" customHeight="false" outlineLevel="0" collapsed="false">
      <c r="A37" s="2" t="s">
        <v>156</v>
      </c>
      <c r="B37" s="6" t="n">
        <v>72</v>
      </c>
      <c r="C37" s="2" t="s">
        <v>149</v>
      </c>
      <c r="D37" s="6" t="n">
        <v>160</v>
      </c>
      <c r="E37" s="7" t="n">
        <v>0</v>
      </c>
      <c r="F37" s="8" t="n">
        <v>-0.336615260404087</v>
      </c>
      <c r="G37" s="7" t="n">
        <v>0.385368669339216</v>
      </c>
      <c r="H37" s="7" t="n">
        <v>0.729351051702535</v>
      </c>
      <c r="I37" s="6" t="n">
        <v>470.767663435486</v>
      </c>
      <c r="J37" s="7" t="n">
        <v>0.13125</v>
      </c>
      <c r="K37" s="7" t="n">
        <v>0.3125</v>
      </c>
      <c r="L37" s="7"/>
      <c r="M37" s="9"/>
      <c r="N37" s="7"/>
      <c r="O37" s="7"/>
    </row>
    <row r="38" customFormat="false" ht="15" hidden="false" customHeight="false" outlineLevel="0" collapsed="false">
      <c r="A38" s="2" t="s">
        <v>156</v>
      </c>
      <c r="B38" s="6" t="n">
        <v>72</v>
      </c>
      <c r="C38" s="2" t="s">
        <v>150</v>
      </c>
      <c r="D38" s="6" t="n">
        <v>160</v>
      </c>
      <c r="E38" s="7" t="n">
        <v>0.0625</v>
      </c>
      <c r="F38" s="8" t="n">
        <v>-0.0054650297627803</v>
      </c>
      <c r="G38" s="7" t="n">
        <v>0.435404015876896</v>
      </c>
      <c r="H38" s="7" t="n">
        <v>1.6187474763879</v>
      </c>
      <c r="I38" s="6" t="n">
        <v>548.498797254969</v>
      </c>
      <c r="J38" s="7" t="n">
        <v>0.1</v>
      </c>
      <c r="K38" s="7" t="n">
        <v>0.25</v>
      </c>
      <c r="L38" s="7"/>
      <c r="M38" s="9"/>
      <c r="N38" s="7"/>
      <c r="O38" s="7"/>
    </row>
    <row r="39" customFormat="false" ht="15" hidden="false" customHeight="false" outlineLevel="0" collapsed="false">
      <c r="A39" s="2" t="s">
        <v>156</v>
      </c>
      <c r="B39" s="6" t="n">
        <v>72</v>
      </c>
      <c r="C39" s="2" t="s">
        <v>151</v>
      </c>
      <c r="D39" s="6" t="n">
        <v>160</v>
      </c>
      <c r="E39" s="7" t="n">
        <v>0.0625</v>
      </c>
      <c r="F39" s="8" t="n">
        <v>-0.0359005221508646</v>
      </c>
      <c r="G39" s="7" t="n">
        <v>0.379419702307198</v>
      </c>
      <c r="H39" s="7" t="n">
        <v>0.785108569128261</v>
      </c>
      <c r="I39" s="6" t="n">
        <v>494.44100986001</v>
      </c>
      <c r="J39" s="7" t="n">
        <v>0.125</v>
      </c>
      <c r="K39" s="7" t="n">
        <v>0.30625</v>
      </c>
      <c r="L39" s="7"/>
      <c r="M39" s="9"/>
      <c r="N39" s="7"/>
      <c r="O39" s="7"/>
    </row>
    <row r="40" customFormat="false" ht="15" hidden="false" customHeight="false" outlineLevel="0" collapsed="false">
      <c r="A40" s="2" t="s">
        <v>156</v>
      </c>
      <c r="B40" s="6" t="n">
        <v>72</v>
      </c>
      <c r="C40" s="2" t="s">
        <v>152</v>
      </c>
      <c r="D40" s="6" t="n">
        <v>160</v>
      </c>
      <c r="E40" s="7" t="n">
        <v>0.0625</v>
      </c>
      <c r="F40" s="8" t="n">
        <v>0.269946672048134</v>
      </c>
      <c r="G40" s="7" t="n">
        <v>0.488231366592922</v>
      </c>
      <c r="H40" s="7" t="n">
        <v>1.61690454629773</v>
      </c>
      <c r="I40" s="6" t="n">
        <v>613.522067240129</v>
      </c>
      <c r="J40" s="7" t="n">
        <v>0.1125</v>
      </c>
      <c r="K40" s="7" t="n">
        <v>0.225</v>
      </c>
      <c r="L40" s="7"/>
      <c r="M40" s="9"/>
      <c r="N40" s="7"/>
      <c r="O40" s="7"/>
    </row>
    <row r="41" customFormat="false" ht="15" hidden="false" customHeight="false" outlineLevel="0" collapsed="false">
      <c r="A41" s="2" t="s">
        <v>156</v>
      </c>
      <c r="B41" s="6" t="n">
        <v>72</v>
      </c>
      <c r="C41" s="2" t="s">
        <v>153</v>
      </c>
      <c r="D41" s="6" t="n">
        <v>160</v>
      </c>
      <c r="E41" s="7" t="n">
        <v>0</v>
      </c>
      <c r="F41" s="8" t="n">
        <v>-0.1341953584494</v>
      </c>
      <c r="G41" s="7" t="n">
        <v>0.23988439922422</v>
      </c>
      <c r="H41" s="7" t="n">
        <v>0.51139599237139</v>
      </c>
      <c r="I41" s="6" t="n">
        <v>248.455782587826</v>
      </c>
      <c r="J41" s="7" t="n">
        <v>0.24375</v>
      </c>
      <c r="K41" s="7" t="n">
        <v>0.5125</v>
      </c>
      <c r="L41" s="7"/>
      <c r="M41" s="9"/>
      <c r="N41" s="7"/>
      <c r="O41" s="7"/>
    </row>
    <row r="42" customFormat="false" ht="15" hidden="false" customHeight="false" outlineLevel="0" collapsed="false">
      <c r="A42" s="2" t="s">
        <v>156</v>
      </c>
      <c r="B42" s="6" t="n">
        <v>72</v>
      </c>
      <c r="C42" s="2" t="s">
        <v>154</v>
      </c>
      <c r="D42" s="6" t="n">
        <v>160</v>
      </c>
      <c r="E42" s="7" t="n">
        <v>0</v>
      </c>
      <c r="F42" s="8" t="n">
        <v>0.0355902964094155</v>
      </c>
      <c r="G42" s="7" t="n">
        <v>0.244439402630664</v>
      </c>
      <c r="H42" s="7" t="n">
        <v>0.613164948116478</v>
      </c>
      <c r="I42" s="6" t="n">
        <v>270.941782035874</v>
      </c>
      <c r="J42" s="7" t="n">
        <v>0.225</v>
      </c>
      <c r="K42" s="7" t="n">
        <v>0.51875</v>
      </c>
      <c r="L42" s="7"/>
      <c r="M42" s="9"/>
      <c r="N42" s="7"/>
      <c r="O42" s="7"/>
    </row>
    <row r="43" customFormat="false" ht="15" hidden="false" customHeight="false" outlineLevel="0" collapsed="false">
      <c r="A43" s="2" t="s">
        <v>156</v>
      </c>
      <c r="B43" s="6" t="n">
        <v>72</v>
      </c>
      <c r="C43" s="2" t="s">
        <v>155</v>
      </c>
      <c r="D43" s="6" t="n">
        <v>160</v>
      </c>
      <c r="E43" s="7"/>
      <c r="F43" s="8"/>
      <c r="G43" s="7"/>
      <c r="H43" s="7"/>
      <c r="I43" s="6"/>
      <c r="J43" s="7"/>
      <c r="K43" s="7"/>
      <c r="L43" s="7" t="n">
        <v>0.6625</v>
      </c>
      <c r="M43" s="9" t="n">
        <v>0.600956009764405</v>
      </c>
      <c r="N43" s="7"/>
      <c r="O43" s="7"/>
    </row>
    <row r="44" customFormat="false" ht="15" hidden="false" customHeight="false" outlineLevel="0" collapsed="false">
      <c r="A44" s="2" t="s">
        <v>156</v>
      </c>
      <c r="B44" s="6" t="n">
        <v>168</v>
      </c>
      <c r="C44" s="2" t="s">
        <v>148</v>
      </c>
      <c r="D44" s="6" t="n">
        <v>160</v>
      </c>
      <c r="E44" s="7" t="n">
        <v>0</v>
      </c>
      <c r="F44" s="8" t="n">
        <v>-0.588576323710667</v>
      </c>
      <c r="G44" s="7" t="n">
        <v>0.588576323710667</v>
      </c>
      <c r="H44" s="7" t="n">
        <v>0.815409484305818</v>
      </c>
      <c r="I44" s="6" t="n">
        <v>780.593783742507</v>
      </c>
      <c r="J44" s="7" t="n">
        <v>0.00625</v>
      </c>
      <c r="K44" s="7" t="n">
        <v>0.075</v>
      </c>
      <c r="L44" s="7"/>
      <c r="M44" s="9"/>
      <c r="N44" s="7"/>
      <c r="O44" s="7"/>
    </row>
    <row r="45" customFormat="false" ht="15" hidden="false" customHeight="false" outlineLevel="0" collapsed="false">
      <c r="A45" s="2" t="s">
        <v>156</v>
      </c>
      <c r="B45" s="6" t="n">
        <v>168</v>
      </c>
      <c r="C45" s="2" t="s">
        <v>149</v>
      </c>
      <c r="D45" s="6" t="n">
        <v>160</v>
      </c>
      <c r="E45" s="7" t="n">
        <v>0</v>
      </c>
      <c r="F45" s="8" t="n">
        <v>-0.240310350003439</v>
      </c>
      <c r="G45" s="7" t="n">
        <v>0.322479847248726</v>
      </c>
      <c r="H45" s="7" t="n">
        <v>0.668401870290029</v>
      </c>
      <c r="I45" s="6" t="n">
        <v>353.0794249344</v>
      </c>
      <c r="J45" s="7" t="n">
        <v>0.175</v>
      </c>
      <c r="K45" s="7" t="n">
        <v>0.4125</v>
      </c>
      <c r="L45" s="7"/>
      <c r="M45" s="9"/>
      <c r="N45" s="7"/>
      <c r="O45" s="7"/>
    </row>
    <row r="46" customFormat="false" ht="15" hidden="false" customHeight="false" outlineLevel="0" collapsed="false">
      <c r="A46" s="2" t="s">
        <v>156</v>
      </c>
      <c r="B46" s="6" t="n">
        <v>168</v>
      </c>
      <c r="C46" s="2" t="s">
        <v>150</v>
      </c>
      <c r="D46" s="6" t="n">
        <v>160</v>
      </c>
      <c r="E46" s="7" t="n">
        <v>0.06875</v>
      </c>
      <c r="F46" s="8" t="n">
        <v>0.052604519925568</v>
      </c>
      <c r="G46" s="7" t="n">
        <v>0.450090655354783</v>
      </c>
      <c r="H46" s="7" t="n">
        <v>2.177947474498</v>
      </c>
      <c r="I46" s="6" t="n">
        <v>558.761624830986</v>
      </c>
      <c r="J46" s="7" t="n">
        <v>0.11875</v>
      </c>
      <c r="K46" s="7" t="n">
        <v>0.25625</v>
      </c>
      <c r="L46" s="7"/>
      <c r="M46" s="9"/>
      <c r="N46" s="7"/>
      <c r="O46" s="7"/>
    </row>
    <row r="47" customFormat="false" ht="15" hidden="false" customHeight="false" outlineLevel="0" collapsed="false">
      <c r="A47" s="2" t="s">
        <v>156</v>
      </c>
      <c r="B47" s="6" t="n">
        <v>168</v>
      </c>
      <c r="C47" s="2" t="s">
        <v>151</v>
      </c>
      <c r="D47" s="6" t="n">
        <v>160</v>
      </c>
      <c r="E47" s="7" t="n">
        <v>0.06875</v>
      </c>
      <c r="F47" s="8" t="n">
        <v>-0.133418237467387</v>
      </c>
      <c r="G47" s="7" t="n">
        <v>0.343798632289346</v>
      </c>
      <c r="H47" s="7" t="n">
        <v>0.687040350254454</v>
      </c>
      <c r="I47" s="6" t="n">
        <v>412.094715055391</v>
      </c>
      <c r="J47" s="7" t="n">
        <v>0.1875</v>
      </c>
      <c r="K47" s="7" t="n">
        <v>0.3375</v>
      </c>
      <c r="L47" s="7"/>
      <c r="M47" s="9"/>
      <c r="N47" s="7"/>
      <c r="O47" s="7"/>
    </row>
    <row r="48" customFormat="false" ht="15" hidden="false" customHeight="false" outlineLevel="0" collapsed="false">
      <c r="A48" s="2" t="s">
        <v>156</v>
      </c>
      <c r="B48" s="6" t="n">
        <v>168</v>
      </c>
      <c r="C48" s="2" t="s">
        <v>152</v>
      </c>
      <c r="D48" s="6" t="n">
        <v>160</v>
      </c>
      <c r="E48" s="7" t="n">
        <v>0.06875</v>
      </c>
      <c r="F48" s="8" t="n">
        <v>0.23709398854087</v>
      </c>
      <c r="G48" s="7" t="n">
        <v>0.46307488176156</v>
      </c>
      <c r="H48" s="7" t="n">
        <v>1.2490989211174</v>
      </c>
      <c r="I48" s="6" t="n">
        <v>506.550666146683</v>
      </c>
      <c r="J48" s="7" t="n">
        <v>0.08125</v>
      </c>
      <c r="K48" s="7" t="n">
        <v>0.25</v>
      </c>
      <c r="L48" s="7"/>
      <c r="M48" s="9"/>
      <c r="N48" s="7"/>
      <c r="O48" s="7"/>
    </row>
    <row r="49" customFormat="false" ht="15" hidden="false" customHeight="false" outlineLevel="0" collapsed="false">
      <c r="A49" s="2" t="s">
        <v>156</v>
      </c>
      <c r="B49" s="6" t="n">
        <v>168</v>
      </c>
      <c r="C49" s="2" t="s">
        <v>153</v>
      </c>
      <c r="D49" s="6" t="n">
        <v>160</v>
      </c>
      <c r="E49" s="7" t="n">
        <v>0</v>
      </c>
      <c r="F49" s="8" t="n">
        <v>-0.181263721606053</v>
      </c>
      <c r="G49" s="7" t="n">
        <v>0.243475194765712</v>
      </c>
      <c r="H49" s="7" t="n">
        <v>0.532568305220058</v>
      </c>
      <c r="I49" s="6" t="n">
        <v>264.742701539922</v>
      </c>
      <c r="J49" s="7" t="n">
        <v>0.21875</v>
      </c>
      <c r="K49" s="7" t="n">
        <v>0.51875</v>
      </c>
      <c r="L49" s="7"/>
      <c r="M49" s="9"/>
      <c r="N49" s="7"/>
      <c r="O49" s="7"/>
    </row>
    <row r="50" customFormat="false" ht="15" hidden="false" customHeight="false" outlineLevel="0" collapsed="false">
      <c r="A50" s="2" t="s">
        <v>156</v>
      </c>
      <c r="B50" s="6" t="n">
        <v>168</v>
      </c>
      <c r="C50" s="2" t="s">
        <v>154</v>
      </c>
      <c r="D50" s="6" t="n">
        <v>160</v>
      </c>
      <c r="E50" s="7" t="n">
        <v>0</v>
      </c>
      <c r="F50" s="8" t="n">
        <v>0.0226317804333458</v>
      </c>
      <c r="G50" s="7" t="n">
        <v>0.221442962295782</v>
      </c>
      <c r="H50" s="7" t="n">
        <v>0.571285906459267</v>
      </c>
      <c r="I50" s="6" t="n">
        <v>288.446627198162</v>
      </c>
      <c r="J50" s="7" t="n">
        <v>0.1875</v>
      </c>
      <c r="K50" s="7" t="n">
        <v>0.575</v>
      </c>
      <c r="L50" s="7"/>
      <c r="M50" s="9"/>
      <c r="N50" s="7"/>
      <c r="O50" s="7"/>
    </row>
    <row r="51" customFormat="false" ht="15" hidden="false" customHeight="false" outlineLevel="0" collapsed="false">
      <c r="A51" s="2" t="s">
        <v>156</v>
      </c>
      <c r="B51" s="6" t="n">
        <v>168</v>
      </c>
      <c r="C51" s="2" t="s">
        <v>155</v>
      </c>
      <c r="D51" s="6" t="n">
        <v>160</v>
      </c>
      <c r="E51" s="7"/>
      <c r="F51" s="8"/>
      <c r="G51" s="7"/>
      <c r="H51" s="7"/>
      <c r="I51" s="6"/>
      <c r="J51" s="7"/>
      <c r="K51" s="7"/>
      <c r="L51" s="7" t="n">
        <v>0.66875</v>
      </c>
      <c r="M51" s="9" t="n">
        <v>0.588861107425113</v>
      </c>
      <c r="N51" s="7"/>
      <c r="O51" s="7"/>
    </row>
    <row r="52" customFormat="false" ht="15" hidden="false" customHeight="false" outlineLevel="0" collapsed="false">
      <c r="A52" s="2" t="s">
        <v>157</v>
      </c>
      <c r="B52" s="6" t="n">
        <v>24</v>
      </c>
      <c r="C52" s="2" t="s">
        <v>148</v>
      </c>
      <c r="D52" s="6" t="n">
        <v>199</v>
      </c>
      <c r="E52" s="7" t="n">
        <v>0</v>
      </c>
      <c r="F52" s="8" t="n">
        <v>-0.709240250383999</v>
      </c>
      <c r="G52" s="7" t="n">
        <v>0.709240250383999</v>
      </c>
      <c r="H52" s="7" t="n">
        <v>0.851465135924888</v>
      </c>
      <c r="I52" s="6" t="n">
        <v>1598.2167977288</v>
      </c>
      <c r="J52" s="7" t="n">
        <v>0</v>
      </c>
      <c r="K52" s="7" t="n">
        <v>0</v>
      </c>
      <c r="L52" s="7"/>
      <c r="M52" s="9"/>
      <c r="N52" s="7"/>
      <c r="O52" s="7"/>
    </row>
    <row r="53" customFormat="false" ht="15" hidden="false" customHeight="false" outlineLevel="0" collapsed="false">
      <c r="A53" s="2" t="s">
        <v>157</v>
      </c>
      <c r="B53" s="6" t="n">
        <v>24</v>
      </c>
      <c r="C53" s="2" t="s">
        <v>149</v>
      </c>
      <c r="D53" s="6" t="n">
        <v>199</v>
      </c>
      <c r="E53" s="7" t="n">
        <v>0</v>
      </c>
      <c r="F53" s="8" t="n">
        <v>-0.27421720598169</v>
      </c>
      <c r="G53" s="7" t="n">
        <v>0.277617965581531</v>
      </c>
      <c r="H53" s="7" t="n">
        <v>0.598269485051568</v>
      </c>
      <c r="I53" s="6" t="n">
        <v>614.75501156312</v>
      </c>
      <c r="J53" s="7" t="n">
        <v>0.120603015075377</v>
      </c>
      <c r="K53" s="7" t="n">
        <v>0.42713567839196</v>
      </c>
      <c r="L53" s="7"/>
      <c r="M53" s="9"/>
      <c r="N53" s="7"/>
      <c r="O53" s="7"/>
    </row>
    <row r="54" customFormat="false" ht="15" hidden="false" customHeight="false" outlineLevel="0" collapsed="false">
      <c r="A54" s="2" t="s">
        <v>157</v>
      </c>
      <c r="B54" s="6" t="n">
        <v>24</v>
      </c>
      <c r="C54" s="2" t="s">
        <v>150</v>
      </c>
      <c r="D54" s="6" t="n">
        <v>199</v>
      </c>
      <c r="E54" s="7" t="n">
        <v>0.050251256281407</v>
      </c>
      <c r="F54" s="8" t="n">
        <v>-0.176087210512307</v>
      </c>
      <c r="G54" s="7" t="n">
        <v>0.241182091841123</v>
      </c>
      <c r="H54" s="7" t="n">
        <v>0.701131527163462</v>
      </c>
      <c r="I54" s="6" t="n">
        <v>427.935949610589</v>
      </c>
      <c r="J54" s="7" t="n">
        <v>0.21608040201005</v>
      </c>
      <c r="K54" s="7" t="n">
        <v>0.487437185929648</v>
      </c>
      <c r="L54" s="7"/>
      <c r="M54" s="9"/>
      <c r="N54" s="7"/>
      <c r="O54" s="7"/>
    </row>
    <row r="55" customFormat="false" ht="15" hidden="false" customHeight="false" outlineLevel="0" collapsed="false">
      <c r="A55" s="2" t="s">
        <v>157</v>
      </c>
      <c r="B55" s="6" t="n">
        <v>24</v>
      </c>
      <c r="C55" s="2" t="s">
        <v>151</v>
      </c>
      <c r="D55" s="6" t="n">
        <v>199</v>
      </c>
      <c r="E55" s="7" t="n">
        <v>0.050251256281407</v>
      </c>
      <c r="F55" s="8" t="n">
        <v>0.963926765468827</v>
      </c>
      <c r="G55" s="7" t="n">
        <v>0.963926765468827</v>
      </c>
      <c r="H55" s="7" t="n">
        <v>2.84417277504692</v>
      </c>
      <c r="I55" s="6" t="n">
        <v>1451.97184344423</v>
      </c>
      <c r="J55" s="7" t="n">
        <v>0.0452261306532663</v>
      </c>
      <c r="K55" s="7" t="n">
        <v>0.130653266331658</v>
      </c>
      <c r="L55" s="7"/>
      <c r="M55" s="9"/>
      <c r="N55" s="7"/>
      <c r="O55" s="7"/>
    </row>
    <row r="56" customFormat="false" ht="15" hidden="false" customHeight="false" outlineLevel="0" collapsed="false">
      <c r="A56" s="2" t="s">
        <v>157</v>
      </c>
      <c r="B56" s="6" t="n">
        <v>24</v>
      </c>
      <c r="C56" s="2" t="s">
        <v>152</v>
      </c>
      <c r="D56" s="6" t="n">
        <v>199</v>
      </c>
      <c r="E56" s="7" t="n">
        <v>0.050251256281407</v>
      </c>
      <c r="F56" s="8" t="n">
        <v>1.20961144198865</v>
      </c>
      <c r="G56" s="7" t="n">
        <v>1.20961144198865</v>
      </c>
      <c r="H56" s="7" t="n">
        <v>3.77885533652436</v>
      </c>
      <c r="I56" s="6" t="n">
        <v>2115.30436734393</v>
      </c>
      <c r="J56" s="7" t="n">
        <v>0.0351758793969849</v>
      </c>
      <c r="K56" s="7" t="n">
        <v>0.105527638190955</v>
      </c>
      <c r="L56" s="7"/>
      <c r="M56" s="9"/>
      <c r="N56" s="7"/>
      <c r="O56" s="7"/>
    </row>
    <row r="57" customFormat="false" ht="15" hidden="false" customHeight="false" outlineLevel="0" collapsed="false">
      <c r="A57" s="2" t="s">
        <v>157</v>
      </c>
      <c r="B57" s="6" t="n">
        <v>24</v>
      </c>
      <c r="C57" s="2" t="s">
        <v>153</v>
      </c>
      <c r="D57" s="6" t="n">
        <v>199</v>
      </c>
      <c r="E57" s="7" t="n">
        <v>0</v>
      </c>
      <c r="F57" s="8" t="n">
        <v>0.143316789133524</v>
      </c>
      <c r="G57" s="7" t="n">
        <v>0.185542511599726</v>
      </c>
      <c r="H57" s="7" t="n">
        <v>0.544441861503994</v>
      </c>
      <c r="I57" s="6" t="n">
        <v>364.485729246198</v>
      </c>
      <c r="J57" s="7" t="n">
        <v>0.316582914572864</v>
      </c>
      <c r="K57" s="7" t="n">
        <v>0.613065326633166</v>
      </c>
      <c r="L57" s="7"/>
      <c r="M57" s="9"/>
      <c r="N57" s="7"/>
      <c r="O57" s="7"/>
    </row>
    <row r="58" customFormat="false" ht="15" hidden="false" customHeight="false" outlineLevel="0" collapsed="false">
      <c r="A58" s="2" t="s">
        <v>157</v>
      </c>
      <c r="B58" s="6" t="n">
        <v>24</v>
      </c>
      <c r="C58" s="2" t="s">
        <v>154</v>
      </c>
      <c r="D58" s="6" t="n">
        <v>199</v>
      </c>
      <c r="E58" s="7" t="n">
        <v>0</v>
      </c>
      <c r="F58" s="8" t="n">
        <v>0.105554120146147</v>
      </c>
      <c r="G58" s="7" t="n">
        <v>0.170304256606903</v>
      </c>
      <c r="H58" s="7" t="n">
        <v>0.493880265967342</v>
      </c>
      <c r="I58" s="6" t="n">
        <v>288.753606533216</v>
      </c>
      <c r="J58" s="7" t="n">
        <v>0.346733668341709</v>
      </c>
      <c r="K58" s="7" t="n">
        <v>0.653266331658292</v>
      </c>
      <c r="L58" s="7"/>
      <c r="M58" s="9"/>
      <c r="N58" s="7"/>
      <c r="O58" s="7"/>
    </row>
    <row r="59" customFormat="false" ht="15" hidden="false" customHeight="false" outlineLevel="0" collapsed="false">
      <c r="A59" s="2" t="s">
        <v>157</v>
      </c>
      <c r="B59" s="6" t="n">
        <v>24</v>
      </c>
      <c r="C59" s="2" t="s">
        <v>155</v>
      </c>
      <c r="D59" s="6" t="n">
        <v>199</v>
      </c>
      <c r="E59" s="7"/>
      <c r="F59" s="8"/>
      <c r="G59" s="7"/>
      <c r="H59" s="7"/>
      <c r="I59" s="6"/>
      <c r="J59" s="7"/>
      <c r="K59" s="7"/>
      <c r="L59" s="7" t="n">
        <v>0.753768844221106</v>
      </c>
      <c r="M59" s="9" t="n">
        <v>0.671733853287549</v>
      </c>
      <c r="N59" s="7"/>
      <c r="O59" s="7"/>
    </row>
    <row r="60" customFormat="false" ht="15" hidden="false" customHeight="false" outlineLevel="0" collapsed="false">
      <c r="A60" s="2" t="s">
        <v>157</v>
      </c>
      <c r="B60" s="6" t="n">
        <v>72</v>
      </c>
      <c r="C60" s="2" t="s">
        <v>148</v>
      </c>
      <c r="D60" s="6" t="n">
        <v>199</v>
      </c>
      <c r="E60" s="7" t="n">
        <v>0</v>
      </c>
      <c r="F60" s="8" t="n">
        <v>-0.574497423346828</v>
      </c>
      <c r="G60" s="7" t="n">
        <v>0.574497423346828</v>
      </c>
      <c r="H60" s="7" t="n">
        <v>0.747602905550805</v>
      </c>
      <c r="I60" s="6" t="n">
        <v>1269.0281482416</v>
      </c>
      <c r="J60" s="7" t="n">
        <v>0</v>
      </c>
      <c r="K60" s="7" t="n">
        <v>0.0201005025125628</v>
      </c>
      <c r="L60" s="7"/>
      <c r="M60" s="9"/>
      <c r="N60" s="7"/>
      <c r="O60" s="7"/>
    </row>
    <row r="61" customFormat="false" ht="15" hidden="false" customHeight="false" outlineLevel="0" collapsed="false">
      <c r="A61" s="2" t="s">
        <v>157</v>
      </c>
      <c r="B61" s="6" t="n">
        <v>72</v>
      </c>
      <c r="C61" s="2" t="s">
        <v>149</v>
      </c>
      <c r="D61" s="6" t="n">
        <v>199</v>
      </c>
      <c r="E61" s="7" t="n">
        <v>0</v>
      </c>
      <c r="F61" s="8" t="n">
        <v>-0.110690042696223</v>
      </c>
      <c r="G61" s="7" t="n">
        <v>0.203773207176639</v>
      </c>
      <c r="H61" s="7" t="n">
        <v>0.482963317898379</v>
      </c>
      <c r="I61" s="6" t="n">
        <v>336.808468371294</v>
      </c>
      <c r="J61" s="7" t="n">
        <v>0.291457286432161</v>
      </c>
      <c r="K61" s="7" t="n">
        <v>0.597989949748744</v>
      </c>
      <c r="L61" s="7"/>
      <c r="M61" s="9"/>
      <c r="N61" s="7"/>
      <c r="O61" s="7"/>
    </row>
    <row r="62" customFormat="false" ht="15" hidden="false" customHeight="false" outlineLevel="0" collapsed="false">
      <c r="A62" s="2" t="s">
        <v>157</v>
      </c>
      <c r="B62" s="6" t="n">
        <v>72</v>
      </c>
      <c r="C62" s="2" t="s">
        <v>150</v>
      </c>
      <c r="D62" s="6" t="n">
        <v>199</v>
      </c>
      <c r="E62" s="7" t="n">
        <v>0.0552763819095477</v>
      </c>
      <c r="F62" s="8" t="n">
        <v>-0.13257812136351</v>
      </c>
      <c r="G62" s="7" t="n">
        <v>0.234857860035292</v>
      </c>
      <c r="H62" s="7" t="n">
        <v>0.640507764294809</v>
      </c>
      <c r="I62" s="6" t="n">
        <v>364.421640684792</v>
      </c>
      <c r="J62" s="7" t="n">
        <v>0.221105527638191</v>
      </c>
      <c r="K62" s="7" t="n">
        <v>0.487437185929648</v>
      </c>
      <c r="L62" s="7"/>
      <c r="M62" s="9"/>
      <c r="N62" s="7"/>
      <c r="O62" s="7"/>
    </row>
    <row r="63" customFormat="false" ht="15" hidden="false" customHeight="false" outlineLevel="0" collapsed="false">
      <c r="A63" s="2" t="s">
        <v>157</v>
      </c>
      <c r="B63" s="6" t="n">
        <v>72</v>
      </c>
      <c r="C63" s="2" t="s">
        <v>151</v>
      </c>
      <c r="D63" s="6" t="n">
        <v>199</v>
      </c>
      <c r="E63" s="7" t="n">
        <v>0.0552763819095477</v>
      </c>
      <c r="F63" s="8" t="n">
        <v>0.494344745361842</v>
      </c>
      <c r="G63" s="7" t="n">
        <v>0.533741828149656</v>
      </c>
      <c r="H63" s="7" t="n">
        <v>1.80461354332901</v>
      </c>
      <c r="I63" s="6" t="n">
        <v>1064.89273549046</v>
      </c>
      <c r="J63" s="7" t="n">
        <v>0.0804020100502512</v>
      </c>
      <c r="K63" s="7" t="n">
        <v>0.206030150753769</v>
      </c>
      <c r="L63" s="7"/>
      <c r="M63" s="9"/>
      <c r="N63" s="7"/>
      <c r="O63" s="7"/>
    </row>
    <row r="64" customFormat="false" ht="15" hidden="false" customHeight="false" outlineLevel="0" collapsed="false">
      <c r="A64" s="2" t="s">
        <v>157</v>
      </c>
      <c r="B64" s="6" t="n">
        <v>72</v>
      </c>
      <c r="C64" s="2" t="s">
        <v>152</v>
      </c>
      <c r="D64" s="6" t="n">
        <v>199</v>
      </c>
      <c r="E64" s="7" t="n">
        <v>0.0552763819095477</v>
      </c>
      <c r="F64" s="8" t="n">
        <v>0.990155426645975</v>
      </c>
      <c r="G64" s="7" t="n">
        <v>0.990155426645975</v>
      </c>
      <c r="H64" s="7" t="n">
        <v>2.84957735740269</v>
      </c>
      <c r="I64" s="6" t="n">
        <v>1757.36633625427</v>
      </c>
      <c r="J64" s="7" t="n">
        <v>0.0351758793969849</v>
      </c>
      <c r="K64" s="7" t="n">
        <v>0.120603015075377</v>
      </c>
      <c r="L64" s="7"/>
      <c r="M64" s="9"/>
      <c r="N64" s="7"/>
      <c r="O64" s="7"/>
    </row>
    <row r="65" customFormat="false" ht="15" hidden="false" customHeight="false" outlineLevel="0" collapsed="false">
      <c r="A65" s="2" t="s">
        <v>157</v>
      </c>
      <c r="B65" s="6" t="n">
        <v>72</v>
      </c>
      <c r="C65" s="2" t="s">
        <v>153</v>
      </c>
      <c r="D65" s="6" t="n">
        <v>199</v>
      </c>
      <c r="E65" s="7" t="n">
        <v>0</v>
      </c>
      <c r="F65" s="8" t="n">
        <v>0.163465153336596</v>
      </c>
      <c r="G65" s="7" t="n">
        <v>0.192380518534562</v>
      </c>
      <c r="H65" s="7" t="n">
        <v>0.516722528173452</v>
      </c>
      <c r="I65" s="6" t="n">
        <v>359.82494126326</v>
      </c>
      <c r="J65" s="7" t="n">
        <v>0.281407035175879</v>
      </c>
      <c r="K65" s="7" t="n">
        <v>0.597989949748744</v>
      </c>
      <c r="L65" s="7"/>
      <c r="M65" s="9"/>
      <c r="N65" s="7"/>
      <c r="O65" s="7"/>
    </row>
    <row r="66" customFormat="false" ht="15" hidden="false" customHeight="false" outlineLevel="0" collapsed="false">
      <c r="A66" s="2" t="s">
        <v>157</v>
      </c>
      <c r="B66" s="6" t="n">
        <v>72</v>
      </c>
      <c r="C66" s="2" t="s">
        <v>154</v>
      </c>
      <c r="D66" s="6" t="n">
        <v>199</v>
      </c>
      <c r="E66" s="7" t="n">
        <v>0</v>
      </c>
      <c r="F66" s="8" t="n">
        <v>0.148380985128421</v>
      </c>
      <c r="G66" s="7" t="n">
        <v>0.170207498298548</v>
      </c>
      <c r="H66" s="7" t="n">
        <v>0.482640516110288</v>
      </c>
      <c r="I66" s="6" t="n">
        <v>361.437037917352</v>
      </c>
      <c r="J66" s="7" t="n">
        <v>0.291457286432161</v>
      </c>
      <c r="K66" s="7" t="n">
        <v>0.648241206030151</v>
      </c>
      <c r="L66" s="7"/>
      <c r="M66" s="9"/>
      <c r="N66" s="7"/>
      <c r="O66" s="7"/>
    </row>
    <row r="67" customFormat="false" ht="15" hidden="false" customHeight="false" outlineLevel="0" collapsed="false">
      <c r="A67" s="2" t="s">
        <v>157</v>
      </c>
      <c r="B67" s="6" t="n">
        <v>72</v>
      </c>
      <c r="C67" s="2" t="s">
        <v>155</v>
      </c>
      <c r="D67" s="6" t="n">
        <v>199</v>
      </c>
      <c r="E67" s="7"/>
      <c r="F67" s="8"/>
      <c r="G67" s="7"/>
      <c r="H67" s="7"/>
      <c r="I67" s="6"/>
      <c r="J67" s="7"/>
      <c r="K67" s="7"/>
      <c r="L67" s="7" t="n">
        <v>0.728643216080402</v>
      </c>
      <c r="M67" s="9" t="n">
        <v>0.646208639588666</v>
      </c>
      <c r="N67" s="7"/>
      <c r="O67" s="7"/>
    </row>
    <row r="68" customFormat="false" ht="15" hidden="false" customHeight="false" outlineLevel="0" collapsed="false">
      <c r="A68" s="2" t="s">
        <v>157</v>
      </c>
      <c r="B68" s="6" t="n">
        <v>168</v>
      </c>
      <c r="C68" s="2" t="s">
        <v>148</v>
      </c>
      <c r="D68" s="6" t="n">
        <v>199</v>
      </c>
      <c r="E68" s="7" t="n">
        <v>0</v>
      </c>
      <c r="F68" s="8" t="n">
        <v>-0.447260745626614</v>
      </c>
      <c r="G68" s="7" t="n">
        <v>0.447260745626614</v>
      </c>
      <c r="H68" s="7" t="n">
        <v>0.642203592631603</v>
      </c>
      <c r="I68" s="6" t="n">
        <v>1024.6080787682</v>
      </c>
      <c r="J68" s="7" t="n">
        <v>0.0150753768844221</v>
      </c>
      <c r="K68" s="7" t="n">
        <v>0.0703517587939698</v>
      </c>
      <c r="L68" s="7"/>
      <c r="M68" s="9"/>
      <c r="N68" s="7"/>
      <c r="O68" s="7"/>
    </row>
    <row r="69" customFormat="false" ht="15" hidden="false" customHeight="false" outlineLevel="0" collapsed="false">
      <c r="A69" s="2" t="s">
        <v>157</v>
      </c>
      <c r="B69" s="6" t="n">
        <v>168</v>
      </c>
      <c r="C69" s="2" t="s">
        <v>149</v>
      </c>
      <c r="D69" s="6" t="n">
        <v>199</v>
      </c>
      <c r="E69" s="7" t="n">
        <v>0</v>
      </c>
      <c r="F69" s="8" t="n">
        <v>-0.0161474893931705</v>
      </c>
      <c r="G69" s="7" t="n">
        <v>0.1738795313711</v>
      </c>
      <c r="H69" s="7" t="n">
        <v>0.42342633823736</v>
      </c>
      <c r="I69" s="6" t="n">
        <v>270.512270572208</v>
      </c>
      <c r="J69" s="7" t="n">
        <v>0.306532663316583</v>
      </c>
      <c r="K69" s="7" t="n">
        <v>0.703517587939699</v>
      </c>
      <c r="L69" s="7"/>
      <c r="M69" s="9"/>
      <c r="N69" s="7"/>
      <c r="O69" s="7"/>
    </row>
    <row r="70" customFormat="false" ht="15" hidden="false" customHeight="false" outlineLevel="0" collapsed="false">
      <c r="A70" s="2" t="s">
        <v>157</v>
      </c>
      <c r="B70" s="6" t="n">
        <v>168</v>
      </c>
      <c r="C70" s="2" t="s">
        <v>150</v>
      </c>
      <c r="D70" s="6" t="n">
        <v>199</v>
      </c>
      <c r="E70" s="7" t="n">
        <v>0.050251256281407</v>
      </c>
      <c r="F70" s="8" t="n">
        <v>-0.202902683151254</v>
      </c>
      <c r="G70" s="7" t="n">
        <v>0.256821508648633</v>
      </c>
      <c r="H70" s="7" t="n">
        <v>0.664577999918795</v>
      </c>
      <c r="I70" s="6" t="n">
        <v>374.420130565126</v>
      </c>
      <c r="J70" s="7" t="n">
        <v>0.185929648241206</v>
      </c>
      <c r="K70" s="7" t="n">
        <v>0.472361809045226</v>
      </c>
      <c r="L70" s="7"/>
      <c r="M70" s="9"/>
      <c r="N70" s="7"/>
      <c r="O70" s="7"/>
    </row>
    <row r="71" customFormat="false" ht="15" hidden="false" customHeight="false" outlineLevel="0" collapsed="false">
      <c r="A71" s="2" t="s">
        <v>157</v>
      </c>
      <c r="B71" s="6" t="n">
        <v>168</v>
      </c>
      <c r="C71" s="2" t="s">
        <v>151</v>
      </c>
      <c r="D71" s="6" t="n">
        <v>199</v>
      </c>
      <c r="E71" s="7" t="n">
        <v>0.050251256281407</v>
      </c>
      <c r="F71" s="8" t="n">
        <v>0.186245021461819</v>
      </c>
      <c r="G71" s="7" t="n">
        <v>0.424367824523288</v>
      </c>
      <c r="H71" s="7" t="n">
        <v>1.12611947457321</v>
      </c>
      <c r="I71" s="6" t="n">
        <v>813.648928253089</v>
      </c>
      <c r="J71" s="7" t="n">
        <v>0.115577889447236</v>
      </c>
      <c r="K71" s="7" t="n">
        <v>0.306532663316583</v>
      </c>
      <c r="L71" s="7"/>
      <c r="M71" s="9"/>
      <c r="N71" s="7"/>
      <c r="O71" s="7"/>
    </row>
    <row r="72" customFormat="false" ht="15" hidden="false" customHeight="false" outlineLevel="0" collapsed="false">
      <c r="A72" s="2" t="s">
        <v>157</v>
      </c>
      <c r="B72" s="6" t="n">
        <v>168</v>
      </c>
      <c r="C72" s="2" t="s">
        <v>152</v>
      </c>
      <c r="D72" s="6" t="n">
        <v>199</v>
      </c>
      <c r="E72" s="7" t="n">
        <v>0.050251256281407</v>
      </c>
      <c r="F72" s="8" t="n">
        <v>0.771184330609539</v>
      </c>
      <c r="G72" s="7" t="n">
        <v>0.771184330609539</v>
      </c>
      <c r="H72" s="7" t="n">
        <v>2.46723067281094</v>
      </c>
      <c r="I72" s="6" t="n">
        <v>1283.35791047256</v>
      </c>
      <c r="J72" s="7" t="n">
        <v>0.0552763819095477</v>
      </c>
      <c r="K72" s="7" t="n">
        <v>0.14070351758794</v>
      </c>
      <c r="L72" s="7"/>
      <c r="M72" s="9"/>
      <c r="N72" s="7"/>
      <c r="O72" s="7"/>
    </row>
    <row r="73" customFormat="false" ht="15" hidden="false" customHeight="false" outlineLevel="0" collapsed="false">
      <c r="A73" s="2" t="s">
        <v>157</v>
      </c>
      <c r="B73" s="6" t="n">
        <v>168</v>
      </c>
      <c r="C73" s="2" t="s">
        <v>153</v>
      </c>
      <c r="D73" s="6" t="n">
        <v>199</v>
      </c>
      <c r="E73" s="7" t="n">
        <v>0</v>
      </c>
      <c r="F73" s="8" t="n">
        <v>0.151282492665934</v>
      </c>
      <c r="G73" s="7" t="n">
        <v>0.170152275733574</v>
      </c>
      <c r="H73" s="7" t="n">
        <v>0.516792824078165</v>
      </c>
      <c r="I73" s="6" t="n">
        <v>330.89152469556</v>
      </c>
      <c r="J73" s="7" t="n">
        <v>0.311557788944724</v>
      </c>
      <c r="K73" s="7" t="n">
        <v>0.64321608040201</v>
      </c>
      <c r="L73" s="7"/>
      <c r="M73" s="9"/>
      <c r="N73" s="7"/>
      <c r="O73" s="7"/>
    </row>
    <row r="74" customFormat="false" ht="15" hidden="false" customHeight="false" outlineLevel="0" collapsed="false">
      <c r="A74" s="2" t="s">
        <v>157</v>
      </c>
      <c r="B74" s="6" t="n">
        <v>168</v>
      </c>
      <c r="C74" s="2" t="s">
        <v>154</v>
      </c>
      <c r="D74" s="6" t="n">
        <v>199</v>
      </c>
      <c r="E74" s="7" t="n">
        <v>0</v>
      </c>
      <c r="F74" s="8" t="n">
        <v>0.160125055770572</v>
      </c>
      <c r="G74" s="7" t="n">
        <v>0.175368460806769</v>
      </c>
      <c r="H74" s="7" t="n">
        <v>0.488946962817987</v>
      </c>
      <c r="I74" s="6" t="n">
        <v>353.393085293572</v>
      </c>
      <c r="J74" s="7" t="n">
        <v>0.311557788944724</v>
      </c>
      <c r="K74" s="7" t="n">
        <v>0.613065326633166</v>
      </c>
      <c r="L74" s="7"/>
      <c r="M74" s="9"/>
      <c r="N74" s="7"/>
      <c r="O74" s="7"/>
    </row>
    <row r="75" customFormat="false" ht="15" hidden="false" customHeight="false" outlineLevel="0" collapsed="false">
      <c r="A75" s="2" t="s">
        <v>157</v>
      </c>
      <c r="B75" s="6" t="n">
        <v>168</v>
      </c>
      <c r="C75" s="2" t="s">
        <v>155</v>
      </c>
      <c r="D75" s="6" t="n">
        <v>199</v>
      </c>
      <c r="E75" s="7"/>
      <c r="F75" s="8"/>
      <c r="G75" s="7"/>
      <c r="H75" s="7"/>
      <c r="I75" s="6"/>
      <c r="J75" s="7"/>
      <c r="K75" s="7"/>
      <c r="L75" s="7" t="n">
        <v>0.698492462311558</v>
      </c>
      <c r="M75" s="9" t="n">
        <v>0.604679875261154</v>
      </c>
      <c r="N75" s="7"/>
      <c r="O7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4" t="s">
        <v>158</v>
      </c>
    </row>
    <row r="3" customFormat="false" ht="25.35" hidden="false" customHeight="false" outlineLevel="0" collapsed="false">
      <c r="A3" s="10" t="s">
        <v>16</v>
      </c>
      <c r="B3" s="10" t="s">
        <v>133</v>
      </c>
      <c r="C3" s="10" t="s">
        <v>159</v>
      </c>
      <c r="D3" s="10" t="s">
        <v>160</v>
      </c>
      <c r="E3" s="10" t="s">
        <v>161</v>
      </c>
      <c r="F3" s="10" t="s">
        <v>162</v>
      </c>
      <c r="G3" s="10" t="s">
        <v>163</v>
      </c>
      <c r="H3" s="10" t="s">
        <v>164</v>
      </c>
      <c r="I3" s="10" t="s">
        <v>165</v>
      </c>
      <c r="J3" s="10" t="s">
        <v>166</v>
      </c>
    </row>
    <row r="4" customFormat="false" ht="15" hidden="false" customHeight="false" outlineLevel="0" collapsed="false">
      <c r="A4" s="11" t="s">
        <v>147</v>
      </c>
      <c r="B4" s="11" t="n">
        <v>24</v>
      </c>
      <c r="C4" s="12" t="n">
        <f aca="false">SUMIFS(Results_by_Scenario!$G$4:$G$75,Results_by_Scenario!$A$4:$A$75,$A4,Results_by_Scenario!$B$4:$B$75,$B4,Results_by_Scenario!$C$4:$C$75,"proxy")</f>
        <v>0.711688304022569</v>
      </c>
      <c r="D4" s="12" t="n">
        <f aca="false">MIN(SUMIFS(Results_by_Scenario!$G$4:$G$75,Results_by_Scenario!$A$4:$A$75,$A4,Results_by_Scenario!$B$4:$B$75,$B4,Results_by_Scenario!$C$4:$C$75,"horner"),SUMIFS(Results_by_Scenario!$G$4:$G$75,Results_by_Scenario!$A$4:$A$75,$A4,Results_by_Scenario!$B$4:$B$75,$B4,Results_by_Scenario!$C$4:$C$75,"fmb"),SUMIFS(Results_by_Scenario!$G$4:$G$75,Results_by_Scenario!$A$4:$A$75,$A4,Results_by_Scenario!$B$4:$B$75,$B4,Results_by_Scenario!$C$4:$C$75,"sqrt"),SUMIFS(Results_by_Scenario!$G$4:$G$75,Results_by_Scenario!$A$4:$A$75,$A4,Results_by_Scenario!$B$4:$B$75,$B4,Results_by_Scenario!$C$4:$C$75,"slab"))</f>
        <v>0.405996259352052</v>
      </c>
      <c r="E4" s="12" t="n">
        <f aca="false">SUMIFS(Results_by_Scenario!$G$4:$G$75,Results_by_Scenario!$A$4:$A$75,$A4,Results_by_Scenario!$B$4:$B$75,$B4,Results_by_Scenario!$C$4:$C$75,"ml_data")</f>
        <v>0.174951054510989</v>
      </c>
      <c r="F4" s="12" t="n">
        <f aca="false">SUMIFS(Results_by_Scenario!$G$4:$G$75,Results_by_Scenario!$A$4:$A$75,$A4,Results_by_Scenario!$B$4:$B$75,$B4,Results_by_Scenario!$C$4:$C$75,"ml_phys")</f>
        <v>0.158603182272583</v>
      </c>
      <c r="G4" s="13" t="n">
        <f aca="false">SUMIFS(Results_by_Scenario!$F$4:$F$75,Results_by_Scenario!$A$4:$A$75,$A4,Results_by_Scenario!$B$4:$B$75,$B4,Results_by_Scenario!$C$4:$C$75,"ml_phys")</f>
        <v>0.0012110684959076</v>
      </c>
      <c r="H4" s="14" t="n">
        <f aca="false">IF(C4&gt;0,1-F4/C4,"")</f>
        <v>0.777145161194677</v>
      </c>
      <c r="I4" s="14" t="n">
        <f aca="false">IF(D4&gt;0,1-F4/D4,"")</f>
        <v>0.609348168562673</v>
      </c>
      <c r="J4" s="12" t="n">
        <f aca="false">SUMIFS(Results_by_Scenario!$L$4:$L$75,Results_by_Scenario!$A$4:$A$75,$A4,Results_by_Scenario!$B$4:$B$75,$B4,Results_by_Scenario!$C$4:$C$75,"ml_phys_interval")</f>
        <v>0.800403225806452</v>
      </c>
    </row>
    <row r="5" customFormat="false" ht="15" hidden="false" customHeight="false" outlineLevel="0" collapsed="false">
      <c r="A5" s="11" t="s">
        <v>147</v>
      </c>
      <c r="B5" s="11" t="n">
        <v>72</v>
      </c>
      <c r="C5" s="12" t="n">
        <f aca="false">SUMIFS(Results_by_Scenario!$G$4:$G$75,Results_by_Scenario!$A$4:$A$75,$A5,Results_by_Scenario!$B$4:$B$75,$B5,Results_by_Scenario!$C$4:$C$75,"proxy")</f>
        <v>0.583507377869446</v>
      </c>
      <c r="D5" s="12" t="n">
        <f aca="false">MIN(SUMIFS(Results_by_Scenario!$G$4:$G$75,Results_by_Scenario!$A$4:$A$75,$A5,Results_by_Scenario!$B$4:$B$75,$B5,Results_by_Scenario!$C$4:$C$75,"horner"),SUMIFS(Results_by_Scenario!$G$4:$G$75,Results_by_Scenario!$A$4:$A$75,$A5,Results_by_Scenario!$B$4:$B$75,$B5,Results_by_Scenario!$C$4:$C$75,"fmb"),SUMIFS(Results_by_Scenario!$G$4:$G$75,Results_by_Scenario!$A$4:$A$75,$A5,Results_by_Scenario!$B$4:$B$75,$B5,Results_by_Scenario!$C$4:$C$75,"sqrt"),SUMIFS(Results_by_Scenario!$G$4:$G$75,Results_by_Scenario!$A$4:$A$75,$A5,Results_by_Scenario!$B$4:$B$75,$B5,Results_by_Scenario!$C$4:$C$75,"slab"))</f>
        <v>0.365004515109003</v>
      </c>
      <c r="E5" s="12" t="n">
        <f aca="false">SUMIFS(Results_by_Scenario!$G$4:$G$75,Results_by_Scenario!$A$4:$A$75,$A5,Results_by_Scenario!$B$4:$B$75,$B5,Results_by_Scenario!$C$4:$C$75,"ml_data")</f>
        <v>0.157079856532848</v>
      </c>
      <c r="F5" s="12" t="n">
        <f aca="false">SUMIFS(Results_by_Scenario!$G$4:$G$75,Results_by_Scenario!$A$4:$A$75,$A5,Results_by_Scenario!$B$4:$B$75,$B5,Results_by_Scenario!$C$4:$C$75,"ml_phys")</f>
        <v>0.143923936978947</v>
      </c>
      <c r="G5" s="13" t="n">
        <f aca="false">SUMIFS(Results_by_Scenario!$F$4:$F$75,Results_by_Scenario!$A$4:$A$75,$A5,Results_by_Scenario!$B$4:$B$75,$B5,Results_by_Scenario!$C$4:$C$75,"ml_phys")</f>
        <v>0.0025850043501069</v>
      </c>
      <c r="H5" s="14" t="n">
        <f aca="false">IF(C5&gt;0,1-F5/C5,"")</f>
        <v>0.75334684283778</v>
      </c>
      <c r="I5" s="14" t="n">
        <f aca="false">IF(D5&gt;0,1-F5/D5,"")</f>
        <v>0.605692721538071</v>
      </c>
      <c r="J5" s="12" t="n">
        <f aca="false">SUMIFS(Results_by_Scenario!$L$4:$L$75,Results_by_Scenario!$A$4:$A$75,$A5,Results_by_Scenario!$B$4:$B$75,$B5,Results_by_Scenario!$C$4:$C$75,"ml_phys_interval")</f>
        <v>0.800738007380074</v>
      </c>
    </row>
    <row r="6" customFormat="false" ht="15" hidden="false" customHeight="false" outlineLevel="0" collapsed="false">
      <c r="A6" s="11" t="s">
        <v>147</v>
      </c>
      <c r="B6" s="11" t="n">
        <v>168</v>
      </c>
      <c r="C6" s="12" t="n">
        <f aca="false">SUMIFS(Results_by_Scenario!$G$4:$G$75,Results_by_Scenario!$A$4:$A$75,$A6,Results_by_Scenario!$B$4:$B$75,$B6,Results_by_Scenario!$C$4:$C$75,"proxy")</f>
        <v>0.473382996492191</v>
      </c>
      <c r="D6" s="12" t="n">
        <f aca="false">MIN(SUMIFS(Results_by_Scenario!$G$4:$G$75,Results_by_Scenario!$A$4:$A$75,$A6,Results_by_Scenario!$B$4:$B$75,$B6,Results_by_Scenario!$C$4:$C$75,"horner"),SUMIFS(Results_by_Scenario!$G$4:$G$75,Results_by_Scenario!$A$4:$A$75,$A6,Results_by_Scenario!$B$4:$B$75,$B6,Results_by_Scenario!$C$4:$C$75,"fmb"),SUMIFS(Results_by_Scenario!$G$4:$G$75,Results_by_Scenario!$A$4:$A$75,$A6,Results_by_Scenario!$B$4:$B$75,$B6,Results_by_Scenario!$C$4:$C$75,"sqrt"),SUMIFS(Results_by_Scenario!$G$4:$G$75,Results_by_Scenario!$A$4:$A$75,$A6,Results_by_Scenario!$B$4:$B$75,$B6,Results_by_Scenario!$C$4:$C$75,"slab"))</f>
        <v>0.331433792003822</v>
      </c>
      <c r="E6" s="12" t="n">
        <f aca="false">SUMIFS(Results_by_Scenario!$G$4:$G$75,Results_by_Scenario!$A$4:$A$75,$A6,Results_by_Scenario!$B$4:$B$75,$B6,Results_by_Scenario!$C$4:$C$75,"ml_data")</f>
        <v>0.147333906840999</v>
      </c>
      <c r="F6" s="12" t="n">
        <f aca="false">SUMIFS(Results_by_Scenario!$G$4:$G$75,Results_by_Scenario!$A$4:$A$75,$A6,Results_by_Scenario!$B$4:$B$75,$B6,Results_by_Scenario!$C$4:$C$75,"ml_phys")</f>
        <v>0.138941704121475</v>
      </c>
      <c r="G6" s="13" t="n">
        <f aca="false">SUMIFS(Results_by_Scenario!$F$4:$F$75,Results_by_Scenario!$A$4:$A$75,$A6,Results_by_Scenario!$B$4:$B$75,$B6,Results_by_Scenario!$C$4:$C$75,"ml_phys")</f>
        <v>0.0079875447877972</v>
      </c>
      <c r="H6" s="14" t="n">
        <f aca="false">IF(C6&gt;0,1-F6/C6,"")</f>
        <v>0.706491983972714</v>
      </c>
      <c r="I6" s="14" t="n">
        <f aca="false">IF(D6&gt;0,1-F6/D6,"")</f>
        <v>0.580785944361785</v>
      </c>
      <c r="J6" s="12" t="n">
        <f aca="false">SUMIFS(Results_by_Scenario!$L$4:$L$75,Results_by_Scenario!$A$4:$A$75,$A6,Results_by_Scenario!$B$4:$B$75,$B6,Results_by_Scenario!$C$4:$C$75,"ml_phys_interval")</f>
        <v>0.819095477386935</v>
      </c>
    </row>
    <row r="7" customFormat="false" ht="15" hidden="false" customHeight="false" outlineLevel="0" collapsed="false">
      <c r="A7" s="11" t="s">
        <v>156</v>
      </c>
      <c r="B7" s="11" t="n">
        <v>24</v>
      </c>
      <c r="C7" s="12" t="n">
        <f aca="false">SUMIFS(Results_by_Scenario!$G$4:$G$75,Results_by_Scenario!$A$4:$A$75,$A7,Results_by_Scenario!$B$4:$B$75,$B7,Results_by_Scenario!$C$4:$C$75,"proxy")</f>
        <v>0.789502825958564</v>
      </c>
      <c r="D7" s="12" t="n">
        <f aca="false">MIN(SUMIFS(Results_by_Scenario!$G$4:$G$75,Results_by_Scenario!$A$4:$A$75,$A7,Results_by_Scenario!$B$4:$B$75,$B7,Results_by_Scenario!$C$4:$C$75,"horner"),SUMIFS(Results_by_Scenario!$G$4:$G$75,Results_by_Scenario!$A$4:$A$75,$A7,Results_by_Scenario!$B$4:$B$75,$B7,Results_by_Scenario!$C$4:$C$75,"fmb"),SUMIFS(Results_by_Scenario!$G$4:$G$75,Results_by_Scenario!$A$4:$A$75,$A7,Results_by_Scenario!$B$4:$B$75,$B7,Results_by_Scenario!$C$4:$C$75,"sqrt"),SUMIFS(Results_by_Scenario!$G$4:$G$75,Results_by_Scenario!$A$4:$A$75,$A7,Results_by_Scenario!$B$4:$B$75,$B7,Results_by_Scenario!$C$4:$C$75,"slab"))</f>
        <v>0.398800152518237</v>
      </c>
      <c r="E7" s="12" t="n">
        <f aca="false">SUMIFS(Results_by_Scenario!$G$4:$G$75,Results_by_Scenario!$A$4:$A$75,$A7,Results_by_Scenario!$B$4:$B$75,$B7,Results_by_Scenario!$C$4:$C$75,"ml_data")</f>
        <v>0.316393179513665</v>
      </c>
      <c r="F7" s="12" t="n">
        <f aca="false">SUMIFS(Results_by_Scenario!$G$4:$G$75,Results_by_Scenario!$A$4:$A$75,$A7,Results_by_Scenario!$B$4:$B$75,$B7,Results_by_Scenario!$C$4:$C$75,"ml_phys")</f>
        <v>0.269384453094046</v>
      </c>
      <c r="G7" s="13" t="n">
        <f aca="false">SUMIFS(Results_by_Scenario!$F$4:$F$75,Results_by_Scenario!$A$4:$A$75,$A7,Results_by_Scenario!$B$4:$B$75,$B7,Results_by_Scenario!$C$4:$C$75,"ml_phys")</f>
        <v>0.0171059292721176</v>
      </c>
      <c r="H7" s="14" t="n">
        <f aca="false">IF(C7&gt;0,1-F7/C7,"")</f>
        <v>0.65879228770717</v>
      </c>
      <c r="I7" s="14" t="n">
        <f aca="false">IF(D7&gt;0,1-F7/D7,"")</f>
        <v>0.324512662813671</v>
      </c>
      <c r="J7" s="12" t="n">
        <f aca="false">SUMIFS(Results_by_Scenario!$L$4:$L$75,Results_by_Scenario!$A$4:$A$75,$A7,Results_by_Scenario!$B$4:$B$75,$B7,Results_by_Scenario!$C$4:$C$75,"ml_phys_interval")</f>
        <v>0.64375</v>
      </c>
    </row>
    <row r="8" customFormat="false" ht="15" hidden="false" customHeight="false" outlineLevel="0" collapsed="false">
      <c r="A8" s="11" t="s">
        <v>156</v>
      </c>
      <c r="B8" s="11" t="n">
        <v>72</v>
      </c>
      <c r="C8" s="12" t="n">
        <f aca="false">SUMIFS(Results_by_Scenario!$G$4:$G$75,Results_by_Scenario!$A$4:$A$75,$A8,Results_by_Scenario!$B$4:$B$75,$B8,Results_by_Scenario!$C$4:$C$75,"proxy")</f>
        <v>0.693711892252669</v>
      </c>
      <c r="D8" s="12" t="n">
        <f aca="false">MIN(SUMIFS(Results_by_Scenario!$G$4:$G$75,Results_by_Scenario!$A$4:$A$75,$A8,Results_by_Scenario!$B$4:$B$75,$B8,Results_by_Scenario!$C$4:$C$75,"horner"),SUMIFS(Results_by_Scenario!$G$4:$G$75,Results_by_Scenario!$A$4:$A$75,$A8,Results_by_Scenario!$B$4:$B$75,$B8,Results_by_Scenario!$C$4:$C$75,"fmb"),SUMIFS(Results_by_Scenario!$G$4:$G$75,Results_by_Scenario!$A$4:$A$75,$A8,Results_by_Scenario!$B$4:$B$75,$B8,Results_by_Scenario!$C$4:$C$75,"sqrt"),SUMIFS(Results_by_Scenario!$G$4:$G$75,Results_by_Scenario!$A$4:$A$75,$A8,Results_by_Scenario!$B$4:$B$75,$B8,Results_by_Scenario!$C$4:$C$75,"slab"))</f>
        <v>0.379419702307198</v>
      </c>
      <c r="E8" s="12" t="n">
        <f aca="false">SUMIFS(Results_by_Scenario!$G$4:$G$75,Results_by_Scenario!$A$4:$A$75,$A8,Results_by_Scenario!$B$4:$B$75,$B8,Results_by_Scenario!$C$4:$C$75,"ml_data")</f>
        <v>0.23988439922422</v>
      </c>
      <c r="F8" s="12" t="n">
        <f aca="false">SUMIFS(Results_by_Scenario!$G$4:$G$75,Results_by_Scenario!$A$4:$A$75,$A8,Results_by_Scenario!$B$4:$B$75,$B8,Results_by_Scenario!$C$4:$C$75,"ml_phys")</f>
        <v>0.244439402630664</v>
      </c>
      <c r="G8" s="13" t="n">
        <f aca="false">SUMIFS(Results_by_Scenario!$F$4:$F$75,Results_by_Scenario!$A$4:$A$75,$A8,Results_by_Scenario!$B$4:$B$75,$B8,Results_by_Scenario!$C$4:$C$75,"ml_phys")</f>
        <v>0.0355902964094155</v>
      </c>
      <c r="H8" s="14" t="n">
        <f aca="false">IF(C8&gt;0,1-F8/C8,"")</f>
        <v>0.647635559717878</v>
      </c>
      <c r="I8" s="14" t="n">
        <f aca="false">IF(D8&gt;0,1-F8/D8,"")</f>
        <v>0.355754587481193</v>
      </c>
      <c r="J8" s="12" t="n">
        <f aca="false">SUMIFS(Results_by_Scenario!$L$4:$L$75,Results_by_Scenario!$A$4:$A$75,$A8,Results_by_Scenario!$B$4:$B$75,$B8,Results_by_Scenario!$C$4:$C$75,"ml_phys_interval")</f>
        <v>0.6625</v>
      </c>
    </row>
    <row r="9" customFormat="false" ht="15" hidden="false" customHeight="false" outlineLevel="0" collapsed="false">
      <c r="A9" s="11" t="s">
        <v>156</v>
      </c>
      <c r="B9" s="11" t="n">
        <v>168</v>
      </c>
      <c r="C9" s="12" t="n">
        <f aca="false">SUMIFS(Results_by_Scenario!$G$4:$G$75,Results_by_Scenario!$A$4:$A$75,$A9,Results_by_Scenario!$B$4:$B$75,$B9,Results_by_Scenario!$C$4:$C$75,"proxy")</f>
        <v>0.588576323710667</v>
      </c>
      <c r="D9" s="12" t="n">
        <f aca="false">MIN(SUMIFS(Results_by_Scenario!$G$4:$G$75,Results_by_Scenario!$A$4:$A$75,$A9,Results_by_Scenario!$B$4:$B$75,$B9,Results_by_Scenario!$C$4:$C$75,"horner"),SUMIFS(Results_by_Scenario!$G$4:$G$75,Results_by_Scenario!$A$4:$A$75,$A9,Results_by_Scenario!$B$4:$B$75,$B9,Results_by_Scenario!$C$4:$C$75,"fmb"),SUMIFS(Results_by_Scenario!$G$4:$G$75,Results_by_Scenario!$A$4:$A$75,$A9,Results_by_Scenario!$B$4:$B$75,$B9,Results_by_Scenario!$C$4:$C$75,"sqrt"),SUMIFS(Results_by_Scenario!$G$4:$G$75,Results_by_Scenario!$A$4:$A$75,$A9,Results_by_Scenario!$B$4:$B$75,$B9,Results_by_Scenario!$C$4:$C$75,"slab"))</f>
        <v>0.322479847248726</v>
      </c>
      <c r="E9" s="12" t="n">
        <f aca="false">SUMIFS(Results_by_Scenario!$G$4:$G$75,Results_by_Scenario!$A$4:$A$75,$A9,Results_by_Scenario!$B$4:$B$75,$B9,Results_by_Scenario!$C$4:$C$75,"ml_data")</f>
        <v>0.243475194765712</v>
      </c>
      <c r="F9" s="12" t="n">
        <f aca="false">SUMIFS(Results_by_Scenario!$G$4:$G$75,Results_by_Scenario!$A$4:$A$75,$A9,Results_by_Scenario!$B$4:$B$75,$B9,Results_by_Scenario!$C$4:$C$75,"ml_phys")</f>
        <v>0.221442962295782</v>
      </c>
      <c r="G9" s="13" t="n">
        <f aca="false">SUMIFS(Results_by_Scenario!$F$4:$F$75,Results_by_Scenario!$A$4:$A$75,$A9,Results_by_Scenario!$B$4:$B$75,$B9,Results_by_Scenario!$C$4:$C$75,"ml_phys")</f>
        <v>0.0226317804333458</v>
      </c>
      <c r="H9" s="14" t="n">
        <f aca="false">IF(C9&gt;0,1-F9/C9,"")</f>
        <v>0.623765086404259</v>
      </c>
      <c r="I9" s="14" t="n">
        <f aca="false">IF(D9&gt;0,1-F9/D9,"")</f>
        <v>0.313312245137029</v>
      </c>
      <c r="J9" s="12" t="n">
        <f aca="false">SUMIFS(Results_by_Scenario!$L$4:$L$75,Results_by_Scenario!$A$4:$A$75,$A9,Results_by_Scenario!$B$4:$B$75,$B9,Results_by_Scenario!$C$4:$C$75,"ml_phys_interval")</f>
        <v>0.66875</v>
      </c>
    </row>
    <row r="10" customFormat="false" ht="15" hidden="false" customHeight="false" outlineLevel="0" collapsed="false">
      <c r="A10" s="11" t="s">
        <v>157</v>
      </c>
      <c r="B10" s="11" t="n">
        <v>24</v>
      </c>
      <c r="C10" s="12" t="n">
        <f aca="false">SUMIFS(Results_by_Scenario!$G$4:$G$75,Results_by_Scenario!$A$4:$A$75,$A10,Results_by_Scenario!$B$4:$B$75,$B10,Results_by_Scenario!$C$4:$C$75,"proxy")</f>
        <v>0.709240250383999</v>
      </c>
      <c r="D10" s="12" t="n">
        <f aca="false">MIN(SUMIFS(Results_by_Scenario!$G$4:$G$75,Results_by_Scenario!$A$4:$A$75,$A10,Results_by_Scenario!$B$4:$B$75,$B10,Results_by_Scenario!$C$4:$C$75,"horner"),SUMIFS(Results_by_Scenario!$G$4:$G$75,Results_by_Scenario!$A$4:$A$75,$A10,Results_by_Scenario!$B$4:$B$75,$B10,Results_by_Scenario!$C$4:$C$75,"fmb"),SUMIFS(Results_by_Scenario!$G$4:$G$75,Results_by_Scenario!$A$4:$A$75,$A10,Results_by_Scenario!$B$4:$B$75,$B10,Results_by_Scenario!$C$4:$C$75,"sqrt"),SUMIFS(Results_by_Scenario!$G$4:$G$75,Results_by_Scenario!$A$4:$A$75,$A10,Results_by_Scenario!$B$4:$B$75,$B10,Results_by_Scenario!$C$4:$C$75,"slab"))</f>
        <v>0.241182091841123</v>
      </c>
      <c r="E10" s="12" t="n">
        <f aca="false">SUMIFS(Results_by_Scenario!$G$4:$G$75,Results_by_Scenario!$A$4:$A$75,$A10,Results_by_Scenario!$B$4:$B$75,$B10,Results_by_Scenario!$C$4:$C$75,"ml_data")</f>
        <v>0.185542511599726</v>
      </c>
      <c r="F10" s="12" t="n">
        <f aca="false">SUMIFS(Results_by_Scenario!$G$4:$G$75,Results_by_Scenario!$A$4:$A$75,$A10,Results_by_Scenario!$B$4:$B$75,$B10,Results_by_Scenario!$C$4:$C$75,"ml_phys")</f>
        <v>0.170304256606903</v>
      </c>
      <c r="G10" s="13" t="n">
        <f aca="false">SUMIFS(Results_by_Scenario!$F$4:$F$75,Results_by_Scenario!$A$4:$A$75,$A10,Results_by_Scenario!$B$4:$B$75,$B10,Results_by_Scenario!$C$4:$C$75,"ml_phys")</f>
        <v>0.105554120146147</v>
      </c>
      <c r="H10" s="14" t="n">
        <f aca="false">IF(C10&gt;0,1-F10/C10,"")</f>
        <v>0.759877902424889</v>
      </c>
      <c r="I10" s="14" t="n">
        <f aca="false">IF(D10&gt;0,1-F10/D10,"")</f>
        <v>0.293876857494505</v>
      </c>
      <c r="J10" s="12" t="n">
        <f aca="false">SUMIFS(Results_by_Scenario!$L$4:$L$75,Results_by_Scenario!$A$4:$A$75,$A10,Results_by_Scenario!$B$4:$B$75,$B10,Results_by_Scenario!$C$4:$C$75,"ml_phys_interval")</f>
        <v>0.753768844221106</v>
      </c>
    </row>
    <row r="11" customFormat="false" ht="15" hidden="false" customHeight="false" outlineLevel="0" collapsed="false">
      <c r="A11" s="11" t="s">
        <v>157</v>
      </c>
      <c r="B11" s="11" t="n">
        <v>72</v>
      </c>
      <c r="C11" s="12" t="n">
        <f aca="false">SUMIFS(Results_by_Scenario!$G$4:$G$75,Results_by_Scenario!$A$4:$A$75,$A11,Results_by_Scenario!$B$4:$B$75,$B11,Results_by_Scenario!$C$4:$C$75,"proxy")</f>
        <v>0.574497423346828</v>
      </c>
      <c r="D11" s="12" t="n">
        <f aca="false">MIN(SUMIFS(Results_by_Scenario!$G$4:$G$75,Results_by_Scenario!$A$4:$A$75,$A11,Results_by_Scenario!$B$4:$B$75,$B11,Results_by_Scenario!$C$4:$C$75,"horner"),SUMIFS(Results_by_Scenario!$G$4:$G$75,Results_by_Scenario!$A$4:$A$75,$A11,Results_by_Scenario!$B$4:$B$75,$B11,Results_by_Scenario!$C$4:$C$75,"fmb"),SUMIFS(Results_by_Scenario!$G$4:$G$75,Results_by_Scenario!$A$4:$A$75,$A11,Results_by_Scenario!$B$4:$B$75,$B11,Results_by_Scenario!$C$4:$C$75,"sqrt"),SUMIFS(Results_by_Scenario!$G$4:$G$75,Results_by_Scenario!$A$4:$A$75,$A11,Results_by_Scenario!$B$4:$B$75,$B11,Results_by_Scenario!$C$4:$C$75,"slab"))</f>
        <v>0.203773207176639</v>
      </c>
      <c r="E11" s="12" t="n">
        <f aca="false">SUMIFS(Results_by_Scenario!$G$4:$G$75,Results_by_Scenario!$A$4:$A$75,$A11,Results_by_Scenario!$B$4:$B$75,$B11,Results_by_Scenario!$C$4:$C$75,"ml_data")</f>
        <v>0.192380518534562</v>
      </c>
      <c r="F11" s="12" t="n">
        <f aca="false">SUMIFS(Results_by_Scenario!$G$4:$G$75,Results_by_Scenario!$A$4:$A$75,$A11,Results_by_Scenario!$B$4:$B$75,$B11,Results_by_Scenario!$C$4:$C$75,"ml_phys")</f>
        <v>0.170207498298548</v>
      </c>
      <c r="G11" s="13" t="n">
        <f aca="false">SUMIFS(Results_by_Scenario!$F$4:$F$75,Results_by_Scenario!$A$4:$A$75,$A11,Results_by_Scenario!$B$4:$B$75,$B11,Results_by_Scenario!$C$4:$C$75,"ml_phys")</f>
        <v>0.148380985128421</v>
      </c>
      <c r="H11" s="14" t="n">
        <f aca="false">IF(C11&gt;0,1-F11/C11,"")</f>
        <v>0.703728004023105</v>
      </c>
      <c r="I11" s="14" t="n">
        <f aca="false">IF(D11&gt;0,1-F11/D11,"")</f>
        <v>0.164720913721472</v>
      </c>
      <c r="J11" s="12" t="n">
        <f aca="false">SUMIFS(Results_by_Scenario!$L$4:$L$75,Results_by_Scenario!$A$4:$A$75,$A11,Results_by_Scenario!$B$4:$B$75,$B11,Results_by_Scenario!$C$4:$C$75,"ml_phys_interval")</f>
        <v>0.728643216080402</v>
      </c>
    </row>
    <row r="12" customFormat="false" ht="15" hidden="false" customHeight="false" outlineLevel="0" collapsed="false">
      <c r="A12" s="11" t="s">
        <v>157</v>
      </c>
      <c r="B12" s="11" t="n">
        <v>168</v>
      </c>
      <c r="C12" s="12" t="n">
        <f aca="false">SUMIFS(Results_by_Scenario!$G$4:$G$75,Results_by_Scenario!$A$4:$A$75,$A12,Results_by_Scenario!$B$4:$B$75,$B12,Results_by_Scenario!$C$4:$C$75,"proxy")</f>
        <v>0.447260745626614</v>
      </c>
      <c r="D12" s="12" t="n">
        <f aca="false">MIN(SUMIFS(Results_by_Scenario!$G$4:$G$75,Results_by_Scenario!$A$4:$A$75,$A12,Results_by_Scenario!$B$4:$B$75,$B12,Results_by_Scenario!$C$4:$C$75,"horner"),SUMIFS(Results_by_Scenario!$G$4:$G$75,Results_by_Scenario!$A$4:$A$75,$A12,Results_by_Scenario!$B$4:$B$75,$B12,Results_by_Scenario!$C$4:$C$75,"fmb"),SUMIFS(Results_by_Scenario!$G$4:$G$75,Results_by_Scenario!$A$4:$A$75,$A12,Results_by_Scenario!$B$4:$B$75,$B12,Results_by_Scenario!$C$4:$C$75,"sqrt"),SUMIFS(Results_by_Scenario!$G$4:$G$75,Results_by_Scenario!$A$4:$A$75,$A12,Results_by_Scenario!$B$4:$B$75,$B12,Results_by_Scenario!$C$4:$C$75,"slab"))</f>
        <v>0.1738795313711</v>
      </c>
      <c r="E12" s="12" t="n">
        <f aca="false">SUMIFS(Results_by_Scenario!$G$4:$G$75,Results_by_Scenario!$A$4:$A$75,$A12,Results_by_Scenario!$B$4:$B$75,$B12,Results_by_Scenario!$C$4:$C$75,"ml_data")</f>
        <v>0.170152275733574</v>
      </c>
      <c r="F12" s="12" t="n">
        <f aca="false">SUMIFS(Results_by_Scenario!$G$4:$G$75,Results_by_Scenario!$A$4:$A$75,$A12,Results_by_Scenario!$B$4:$B$75,$B12,Results_by_Scenario!$C$4:$C$75,"ml_phys")</f>
        <v>0.175368460806769</v>
      </c>
      <c r="G12" s="13" t="n">
        <f aca="false">SUMIFS(Results_by_Scenario!$F$4:$F$75,Results_by_Scenario!$A$4:$A$75,$A12,Results_by_Scenario!$B$4:$B$75,$B12,Results_by_Scenario!$C$4:$C$75,"ml_phys")</f>
        <v>0.160125055770572</v>
      </c>
      <c r="H12" s="14" t="n">
        <f aca="false">IF(C12&gt;0,1-F12/C12,"")</f>
        <v>0.607905539393856</v>
      </c>
      <c r="I12" s="14" t="n">
        <f aca="false">IF(D12&gt;0,1-F12/D12,"")</f>
        <v>-0.00856299429799856</v>
      </c>
      <c r="J12" s="12" t="n">
        <f aca="false">SUMIFS(Results_by_Scenario!$L$4:$L$75,Results_by_Scenario!$A$4:$A$75,$A12,Results_by_Scenario!$B$4:$B$75,$B12,Results_by_Scenario!$C$4:$C$75,"ml_phys_interval")</f>
        <v>0.698492462311558</v>
      </c>
    </row>
    <row r="14" customFormat="false" ht="15" hidden="false" customHeight="false" outlineLevel="0" collapsed="false">
      <c r="A14" s="1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8" min="5" style="0" width="12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16.15" hidden="false" customHeight="false" outlineLevel="0" collapsed="false">
      <c r="A1" s="4" t="s">
        <v>168</v>
      </c>
    </row>
    <row r="3" customFormat="false" ht="25.35" hidden="false" customHeight="false" outlineLevel="0" collapsed="false">
      <c r="A3" s="5" t="s">
        <v>169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137</v>
      </c>
      <c r="G3" s="5" t="s">
        <v>138</v>
      </c>
      <c r="H3" s="5" t="s">
        <v>139</v>
      </c>
      <c r="I3" s="5" t="s">
        <v>140</v>
      </c>
      <c r="J3" s="5" t="s">
        <v>141</v>
      </c>
    </row>
    <row r="4" customFormat="false" ht="15" hidden="false" customHeight="false" outlineLevel="0" collapsed="false">
      <c r="A4" s="2" t="s">
        <v>170</v>
      </c>
      <c r="B4" s="6" t="n">
        <v>24</v>
      </c>
      <c r="C4" s="2" t="s">
        <v>148</v>
      </c>
      <c r="D4" s="6" t="n">
        <v>446</v>
      </c>
      <c r="E4" s="7" t="n">
        <v>0</v>
      </c>
      <c r="F4" s="8" t="n">
        <v>-0.739</v>
      </c>
      <c r="G4" s="7" t="n">
        <v>0.739</v>
      </c>
      <c r="H4" s="7" t="n">
        <v>0.906</v>
      </c>
      <c r="I4" s="6" t="n">
        <v>1175.338</v>
      </c>
      <c r="J4" s="7" t="n">
        <v>0.016</v>
      </c>
    </row>
    <row r="5" customFormat="false" ht="15" hidden="false" customHeight="false" outlineLevel="0" collapsed="false">
      <c r="A5" s="2" t="s">
        <v>170</v>
      </c>
      <c r="B5" s="6" t="n">
        <v>24</v>
      </c>
      <c r="C5" s="2" t="s">
        <v>149</v>
      </c>
      <c r="D5" s="6" t="n">
        <v>446</v>
      </c>
      <c r="E5" s="7" t="n">
        <v>0</v>
      </c>
      <c r="F5" s="8" t="n">
        <v>-0.336</v>
      </c>
      <c r="G5" s="7" t="n">
        <v>0.479</v>
      </c>
      <c r="H5" s="7" t="n">
        <v>0.844</v>
      </c>
      <c r="I5" s="6" t="n">
        <v>486.302</v>
      </c>
      <c r="J5" s="7" t="n">
        <v>0.078</v>
      </c>
    </row>
    <row r="6" customFormat="false" ht="15" hidden="false" customHeight="false" outlineLevel="0" collapsed="false">
      <c r="A6" s="2" t="s">
        <v>170</v>
      </c>
      <c r="B6" s="6" t="n">
        <v>24</v>
      </c>
      <c r="C6" s="2" t="s">
        <v>150</v>
      </c>
      <c r="D6" s="6" t="n">
        <v>446</v>
      </c>
      <c r="E6" s="7" t="n">
        <v>0.085</v>
      </c>
      <c r="F6" s="8" t="n">
        <v>-0.3</v>
      </c>
      <c r="G6" s="7" t="n">
        <v>0.424</v>
      </c>
      <c r="H6" s="7" t="n">
        <v>1.144</v>
      </c>
      <c r="I6" s="6" t="n">
        <v>394.363</v>
      </c>
      <c r="J6" s="7" t="n">
        <v>0.103</v>
      </c>
    </row>
    <row r="7" customFormat="false" ht="15" hidden="false" customHeight="false" outlineLevel="0" collapsed="false">
      <c r="A7" s="2" t="s">
        <v>170</v>
      </c>
      <c r="B7" s="6" t="n">
        <v>24</v>
      </c>
      <c r="C7" s="2" t="s">
        <v>151</v>
      </c>
      <c r="D7" s="6" t="n">
        <v>446</v>
      </c>
      <c r="E7" s="7" t="n">
        <v>0.085</v>
      </c>
      <c r="F7" s="8" t="n">
        <v>0.172</v>
      </c>
      <c r="G7" s="7" t="n">
        <v>0.489</v>
      </c>
      <c r="H7" s="7" t="n">
        <v>1.691</v>
      </c>
      <c r="I7" s="6" t="n">
        <v>539.707</v>
      </c>
      <c r="J7" s="7" t="n">
        <v>0.103</v>
      </c>
    </row>
    <row r="8" customFormat="false" ht="15" hidden="false" customHeight="false" outlineLevel="0" collapsed="false">
      <c r="A8" s="2" t="s">
        <v>170</v>
      </c>
      <c r="B8" s="6" t="n">
        <v>24</v>
      </c>
      <c r="C8" s="2" t="s">
        <v>152</v>
      </c>
      <c r="D8" s="6" t="n">
        <v>446</v>
      </c>
      <c r="E8" s="7" t="n">
        <v>0.085</v>
      </c>
      <c r="F8" s="8" t="n">
        <v>0.463</v>
      </c>
      <c r="G8" s="7" t="n">
        <v>0.65</v>
      </c>
      <c r="H8" s="7" t="n">
        <v>2.359</v>
      </c>
      <c r="I8" s="6" t="n">
        <v>599.825</v>
      </c>
      <c r="J8" s="7" t="n">
        <v>0.072</v>
      </c>
    </row>
    <row r="9" customFormat="false" ht="15" hidden="false" customHeight="false" outlineLevel="0" collapsed="false">
      <c r="A9" s="2" t="s">
        <v>170</v>
      </c>
      <c r="B9" s="6" t="n">
        <v>24</v>
      </c>
      <c r="C9" s="2" t="s">
        <v>153</v>
      </c>
      <c r="D9" s="6" t="n">
        <v>446</v>
      </c>
      <c r="E9" s="7" t="n">
        <v>0</v>
      </c>
      <c r="F9" s="8" t="n">
        <v>0.004</v>
      </c>
      <c r="G9" s="7" t="n">
        <v>0.178</v>
      </c>
      <c r="H9" s="7" t="n">
        <v>0.451</v>
      </c>
      <c r="I9" s="6" t="n">
        <v>161.853</v>
      </c>
      <c r="J9" s="7" t="n">
        <v>0.334</v>
      </c>
    </row>
    <row r="10" customFormat="false" ht="15" hidden="false" customHeight="false" outlineLevel="0" collapsed="false">
      <c r="A10" s="2" t="s">
        <v>170</v>
      </c>
      <c r="B10" s="6" t="n">
        <v>24</v>
      </c>
      <c r="C10" s="2" t="s">
        <v>154</v>
      </c>
      <c r="D10" s="6" t="n">
        <v>446</v>
      </c>
      <c r="E10" s="7" t="n">
        <v>0</v>
      </c>
      <c r="F10" s="8" t="n">
        <v>-0.002</v>
      </c>
      <c r="G10" s="7" t="n">
        <v>0.172</v>
      </c>
      <c r="H10" s="7" t="n">
        <v>0.419</v>
      </c>
      <c r="I10" s="6" t="n">
        <v>149.922</v>
      </c>
      <c r="J10" s="7" t="n">
        <v>0.339</v>
      </c>
    </row>
    <row r="11" customFormat="false" ht="15" hidden="false" customHeight="false" outlineLevel="0" collapsed="false">
      <c r="A11" s="2" t="s">
        <v>170</v>
      </c>
      <c r="B11" s="6" t="n">
        <v>72</v>
      </c>
      <c r="C11" s="2" t="s">
        <v>148</v>
      </c>
      <c r="D11" s="6" t="n">
        <v>448</v>
      </c>
      <c r="E11" s="7" t="n">
        <v>0</v>
      </c>
      <c r="F11" s="8" t="n">
        <v>-0.601</v>
      </c>
      <c r="G11" s="7" t="n">
        <v>0.604</v>
      </c>
      <c r="H11" s="7" t="n">
        <v>0.836</v>
      </c>
      <c r="I11" s="6" t="n">
        <v>990.053</v>
      </c>
      <c r="J11" s="7" t="n">
        <v>0.054</v>
      </c>
    </row>
    <row r="12" customFormat="false" ht="15" hidden="false" customHeight="false" outlineLevel="0" collapsed="false">
      <c r="A12" s="2" t="s">
        <v>170</v>
      </c>
      <c r="B12" s="6" t="n">
        <v>72</v>
      </c>
      <c r="C12" s="2" t="s">
        <v>149</v>
      </c>
      <c r="D12" s="6" t="n">
        <v>448</v>
      </c>
      <c r="E12" s="7" t="n">
        <v>0</v>
      </c>
      <c r="F12" s="8" t="n">
        <v>-0.146</v>
      </c>
      <c r="G12" s="7" t="n">
        <v>0.423</v>
      </c>
      <c r="H12" s="7" t="n">
        <v>1.108</v>
      </c>
      <c r="I12" s="6" t="n">
        <v>257.024</v>
      </c>
      <c r="J12" s="7" t="n">
        <v>0.143</v>
      </c>
    </row>
    <row r="13" customFormat="false" ht="15" hidden="false" customHeight="false" outlineLevel="0" collapsed="false">
      <c r="A13" s="2" t="s">
        <v>170</v>
      </c>
      <c r="B13" s="6" t="n">
        <v>72</v>
      </c>
      <c r="C13" s="2" t="s">
        <v>150</v>
      </c>
      <c r="D13" s="6" t="n">
        <v>448</v>
      </c>
      <c r="E13" s="7" t="n">
        <v>0.078</v>
      </c>
      <c r="F13" s="8" t="n">
        <v>-0.233</v>
      </c>
      <c r="G13" s="7" t="n">
        <v>0.425</v>
      </c>
      <c r="H13" s="7" t="n">
        <v>1.671</v>
      </c>
      <c r="I13" s="6" t="n">
        <v>397.445</v>
      </c>
      <c r="J13" s="7" t="n">
        <v>0.109</v>
      </c>
    </row>
    <row r="14" customFormat="false" ht="15" hidden="false" customHeight="false" outlineLevel="0" collapsed="false">
      <c r="A14" s="2" t="s">
        <v>170</v>
      </c>
      <c r="B14" s="6" t="n">
        <v>72</v>
      </c>
      <c r="C14" s="2" t="s">
        <v>151</v>
      </c>
      <c r="D14" s="6" t="n">
        <v>448</v>
      </c>
      <c r="E14" s="7" t="n">
        <v>0.078</v>
      </c>
      <c r="F14" s="8" t="n">
        <v>0.002</v>
      </c>
      <c r="G14" s="7" t="n">
        <v>0.403</v>
      </c>
      <c r="H14" s="7" t="n">
        <v>0.985</v>
      </c>
      <c r="I14" s="6" t="n">
        <v>338.147</v>
      </c>
      <c r="J14" s="7" t="n">
        <v>0.138</v>
      </c>
    </row>
    <row r="15" customFormat="false" ht="15" hidden="false" customHeight="false" outlineLevel="0" collapsed="false">
      <c r="A15" s="2" t="s">
        <v>170</v>
      </c>
      <c r="B15" s="6" t="n">
        <v>72</v>
      </c>
      <c r="C15" s="2" t="s">
        <v>152</v>
      </c>
      <c r="D15" s="6" t="n">
        <v>448</v>
      </c>
      <c r="E15" s="7" t="n">
        <v>0.078</v>
      </c>
      <c r="F15" s="8" t="n">
        <v>0.351</v>
      </c>
      <c r="G15" s="7" t="n">
        <v>0.541</v>
      </c>
      <c r="H15" s="7" t="n">
        <v>1.745</v>
      </c>
      <c r="I15" s="6" t="n">
        <v>491.552</v>
      </c>
      <c r="J15" s="7" t="n">
        <v>0.087</v>
      </c>
    </row>
    <row r="16" customFormat="false" ht="15" hidden="false" customHeight="false" outlineLevel="0" collapsed="false">
      <c r="A16" s="2" t="s">
        <v>170</v>
      </c>
      <c r="B16" s="6" t="n">
        <v>72</v>
      </c>
      <c r="C16" s="2" t="s">
        <v>153</v>
      </c>
      <c r="D16" s="6" t="n">
        <v>448</v>
      </c>
      <c r="E16" s="7" t="n">
        <v>0</v>
      </c>
      <c r="F16" s="8" t="n">
        <v>0.018</v>
      </c>
      <c r="G16" s="7" t="n">
        <v>0.171</v>
      </c>
      <c r="H16" s="7" t="n">
        <v>0.409</v>
      </c>
      <c r="I16" s="6" t="n">
        <v>179.415</v>
      </c>
      <c r="J16" s="7" t="n">
        <v>0.357</v>
      </c>
    </row>
    <row r="17" customFormat="false" ht="15" hidden="false" customHeight="false" outlineLevel="0" collapsed="false">
      <c r="A17" s="2" t="s">
        <v>170</v>
      </c>
      <c r="B17" s="6" t="n">
        <v>72</v>
      </c>
      <c r="C17" s="2" t="s">
        <v>154</v>
      </c>
      <c r="D17" s="6" t="n">
        <v>448</v>
      </c>
      <c r="E17" s="7" t="n">
        <v>0</v>
      </c>
      <c r="F17" s="8" t="n">
        <v>0.006</v>
      </c>
      <c r="G17" s="7" t="n">
        <v>0.145</v>
      </c>
      <c r="H17" s="7" t="n">
        <v>0.384</v>
      </c>
      <c r="I17" s="6" t="n">
        <v>135.904</v>
      </c>
      <c r="J17" s="7" t="n">
        <v>0.395</v>
      </c>
    </row>
    <row r="18" customFormat="false" ht="15" hidden="false" customHeight="false" outlineLevel="0" collapsed="false">
      <c r="A18" s="2" t="s">
        <v>170</v>
      </c>
      <c r="B18" s="6" t="n">
        <v>168</v>
      </c>
      <c r="C18" s="2" t="s">
        <v>148</v>
      </c>
      <c r="D18" s="6" t="n">
        <v>448</v>
      </c>
      <c r="E18" s="7" t="n">
        <v>0</v>
      </c>
      <c r="F18" s="8" t="n">
        <v>-0.464</v>
      </c>
      <c r="G18" s="7" t="n">
        <v>0.492</v>
      </c>
      <c r="H18" s="7" t="n">
        <v>0.788</v>
      </c>
      <c r="I18" s="6" t="n">
        <v>765.095</v>
      </c>
      <c r="J18" s="7" t="n">
        <v>0.054</v>
      </c>
    </row>
    <row r="19" customFormat="false" ht="15" hidden="false" customHeight="false" outlineLevel="0" collapsed="false">
      <c r="A19" s="2" t="s">
        <v>170</v>
      </c>
      <c r="B19" s="6" t="n">
        <v>168</v>
      </c>
      <c r="C19" s="2" t="s">
        <v>149</v>
      </c>
      <c r="D19" s="6" t="n">
        <v>448</v>
      </c>
      <c r="E19" s="7" t="n">
        <v>0</v>
      </c>
      <c r="F19" s="8" t="n">
        <v>-0.032</v>
      </c>
      <c r="G19" s="7" t="n">
        <v>0.381</v>
      </c>
      <c r="H19" s="7" t="n">
        <v>1.42</v>
      </c>
      <c r="I19" s="6" t="n">
        <v>223.127</v>
      </c>
      <c r="J19" s="7" t="n">
        <v>0.165</v>
      </c>
    </row>
    <row r="20" customFormat="false" ht="15" hidden="false" customHeight="false" outlineLevel="0" collapsed="false">
      <c r="A20" s="2" t="s">
        <v>170</v>
      </c>
      <c r="B20" s="6" t="n">
        <v>168</v>
      </c>
      <c r="C20" s="2" t="s">
        <v>150</v>
      </c>
      <c r="D20" s="6" t="n">
        <v>448</v>
      </c>
      <c r="E20" s="7" t="n">
        <v>0.076</v>
      </c>
      <c r="F20" s="8" t="n">
        <v>-0.264</v>
      </c>
      <c r="G20" s="7" t="n">
        <v>0.429</v>
      </c>
      <c r="H20" s="7" t="n">
        <v>1.19</v>
      </c>
      <c r="I20" s="6" t="n">
        <v>424.765</v>
      </c>
      <c r="J20" s="7" t="n">
        <v>0.096</v>
      </c>
    </row>
    <row r="21" customFormat="false" ht="15" hidden="false" customHeight="false" outlineLevel="0" collapsed="false">
      <c r="A21" s="2" t="s">
        <v>170</v>
      </c>
      <c r="B21" s="6" t="n">
        <v>168</v>
      </c>
      <c r="C21" s="2" t="s">
        <v>151</v>
      </c>
      <c r="D21" s="6" t="n">
        <v>448</v>
      </c>
      <c r="E21" s="7" t="n">
        <v>0.076</v>
      </c>
      <c r="F21" s="8" t="n">
        <v>-0.186</v>
      </c>
      <c r="G21" s="7" t="n">
        <v>0.345</v>
      </c>
      <c r="H21" s="7" t="n">
        <v>0.786</v>
      </c>
      <c r="I21" s="6" t="n">
        <v>343.611</v>
      </c>
      <c r="J21" s="7" t="n">
        <v>0.134</v>
      </c>
    </row>
    <row r="22" customFormat="false" ht="15" hidden="false" customHeight="false" outlineLevel="0" collapsed="false">
      <c r="A22" s="2" t="s">
        <v>170</v>
      </c>
      <c r="B22" s="6" t="n">
        <v>168</v>
      </c>
      <c r="C22" s="2" t="s">
        <v>152</v>
      </c>
      <c r="D22" s="6" t="n">
        <v>448</v>
      </c>
      <c r="E22" s="7" t="n">
        <v>0.076</v>
      </c>
      <c r="F22" s="8" t="n">
        <v>0.189</v>
      </c>
      <c r="G22" s="7" t="n">
        <v>0.439</v>
      </c>
      <c r="H22" s="7" t="n">
        <v>1.29</v>
      </c>
      <c r="I22" s="6" t="n">
        <v>403.777</v>
      </c>
      <c r="J22" s="7" t="n">
        <v>0.121</v>
      </c>
    </row>
    <row r="23" customFormat="false" ht="15" hidden="false" customHeight="false" outlineLevel="0" collapsed="false">
      <c r="A23" s="2" t="s">
        <v>170</v>
      </c>
      <c r="B23" s="6" t="n">
        <v>168</v>
      </c>
      <c r="C23" s="2" t="s">
        <v>153</v>
      </c>
      <c r="D23" s="6" t="n">
        <v>448</v>
      </c>
      <c r="E23" s="7" t="n">
        <v>0</v>
      </c>
      <c r="F23" s="8" t="n">
        <v>0.009</v>
      </c>
      <c r="G23" s="7" t="n">
        <v>0.153</v>
      </c>
      <c r="H23" s="7" t="n">
        <v>0.398</v>
      </c>
      <c r="I23" s="6" t="n">
        <v>160.206</v>
      </c>
      <c r="J23" s="7" t="n">
        <v>0.342</v>
      </c>
    </row>
    <row r="24" customFormat="false" ht="15" hidden="false" customHeight="false" outlineLevel="0" collapsed="false">
      <c r="A24" s="2" t="s">
        <v>170</v>
      </c>
      <c r="B24" s="6" t="n">
        <v>168</v>
      </c>
      <c r="C24" s="2" t="s">
        <v>154</v>
      </c>
      <c r="D24" s="6" t="n">
        <v>448</v>
      </c>
      <c r="E24" s="7" t="n">
        <v>0</v>
      </c>
      <c r="F24" s="8" t="n">
        <v>0.008</v>
      </c>
      <c r="G24" s="7" t="n">
        <v>0.141</v>
      </c>
      <c r="H24" s="7" t="n">
        <v>0.373</v>
      </c>
      <c r="I24" s="6" t="n">
        <v>145.613</v>
      </c>
      <c r="J24" s="7" t="n">
        <v>0.384</v>
      </c>
    </row>
    <row r="25" customFormat="false" ht="15" hidden="false" customHeight="false" outlineLevel="0" collapsed="false">
      <c r="A25" s="2" t="s">
        <v>171</v>
      </c>
      <c r="B25" s="6" t="n">
        <v>24</v>
      </c>
      <c r="C25" s="2" t="s">
        <v>148</v>
      </c>
      <c r="D25" s="6" t="n">
        <v>446</v>
      </c>
      <c r="E25" s="7" t="n">
        <v>0</v>
      </c>
      <c r="F25" s="8" t="n">
        <v>-0.739</v>
      </c>
      <c r="G25" s="7" t="n">
        <v>0.739</v>
      </c>
      <c r="H25" s="7" t="n">
        <v>0.906</v>
      </c>
      <c r="I25" s="6" t="n">
        <v>1175.338</v>
      </c>
      <c r="J25" s="7" t="n">
        <v>0.016</v>
      </c>
    </row>
    <row r="26" customFormat="false" ht="15" hidden="false" customHeight="false" outlineLevel="0" collapsed="false">
      <c r="A26" s="2" t="s">
        <v>171</v>
      </c>
      <c r="B26" s="6" t="n">
        <v>24</v>
      </c>
      <c r="C26" s="2" t="s">
        <v>149</v>
      </c>
      <c r="D26" s="6" t="n">
        <v>446</v>
      </c>
      <c r="E26" s="7" t="n">
        <v>0</v>
      </c>
      <c r="F26" s="8" t="n">
        <v>-0.336</v>
      </c>
      <c r="G26" s="7" t="n">
        <v>0.479</v>
      </c>
      <c r="H26" s="7" t="n">
        <v>0.844</v>
      </c>
      <c r="I26" s="6" t="n">
        <v>486.302</v>
      </c>
      <c r="J26" s="7" t="n">
        <v>0.078</v>
      </c>
    </row>
    <row r="27" customFormat="false" ht="15" hidden="false" customHeight="false" outlineLevel="0" collapsed="false">
      <c r="A27" s="2" t="s">
        <v>171</v>
      </c>
      <c r="B27" s="6" t="n">
        <v>24</v>
      </c>
      <c r="C27" s="2" t="s">
        <v>150</v>
      </c>
      <c r="D27" s="6" t="n">
        <v>446</v>
      </c>
      <c r="E27" s="7" t="n">
        <v>0.11</v>
      </c>
      <c r="F27" s="8" t="n">
        <v>-0.296</v>
      </c>
      <c r="G27" s="7" t="n">
        <v>0.479</v>
      </c>
      <c r="H27" s="7" t="n">
        <v>1.833</v>
      </c>
      <c r="I27" s="6" t="n">
        <v>441.026</v>
      </c>
      <c r="J27" s="7" t="n">
        <v>0.096</v>
      </c>
    </row>
    <row r="28" customFormat="false" ht="15" hidden="false" customHeight="false" outlineLevel="0" collapsed="false">
      <c r="A28" s="2" t="s">
        <v>171</v>
      </c>
      <c r="B28" s="6" t="n">
        <v>24</v>
      </c>
      <c r="C28" s="2" t="s">
        <v>151</v>
      </c>
      <c r="D28" s="6" t="n">
        <v>446</v>
      </c>
      <c r="E28" s="7" t="n">
        <v>0.11</v>
      </c>
      <c r="F28" s="8" t="n">
        <v>0.159</v>
      </c>
      <c r="G28" s="7" t="n">
        <v>0.48</v>
      </c>
      <c r="H28" s="7" t="n">
        <v>1.688</v>
      </c>
      <c r="I28" s="6" t="n">
        <v>535.661</v>
      </c>
      <c r="J28" s="7" t="n">
        <v>0.096</v>
      </c>
    </row>
    <row r="29" customFormat="false" ht="15" hidden="false" customHeight="false" outlineLevel="0" collapsed="false">
      <c r="A29" s="2" t="s">
        <v>171</v>
      </c>
      <c r="B29" s="6" t="n">
        <v>24</v>
      </c>
      <c r="C29" s="2" t="s">
        <v>152</v>
      </c>
      <c r="D29" s="6" t="n">
        <v>446</v>
      </c>
      <c r="E29" s="7" t="n">
        <v>0.11</v>
      </c>
      <c r="F29" s="8" t="n">
        <v>0.455</v>
      </c>
      <c r="G29" s="7" t="n">
        <v>0.646</v>
      </c>
      <c r="H29" s="7" t="n">
        <v>2.465</v>
      </c>
      <c r="I29" s="6" t="n">
        <v>584.142</v>
      </c>
      <c r="J29" s="7" t="n">
        <v>0.087</v>
      </c>
    </row>
    <row r="30" customFormat="false" ht="15" hidden="false" customHeight="false" outlineLevel="0" collapsed="false">
      <c r="A30" s="2" t="s">
        <v>171</v>
      </c>
      <c r="B30" s="6" t="n">
        <v>24</v>
      </c>
      <c r="C30" s="2" t="s">
        <v>153</v>
      </c>
      <c r="D30" s="6" t="n">
        <v>446</v>
      </c>
      <c r="E30" s="7" t="n">
        <v>0</v>
      </c>
      <c r="F30" s="8" t="n">
        <v>0.002</v>
      </c>
      <c r="G30" s="7" t="n">
        <v>0.19</v>
      </c>
      <c r="H30" s="7" t="n">
        <v>0.469</v>
      </c>
      <c r="I30" s="6" t="n">
        <v>166.894</v>
      </c>
      <c r="J30" s="7" t="n">
        <v>0.314</v>
      </c>
    </row>
    <row r="31" customFormat="false" ht="15" hidden="false" customHeight="false" outlineLevel="0" collapsed="false">
      <c r="A31" s="2" t="s">
        <v>171</v>
      </c>
      <c r="B31" s="6" t="n">
        <v>24</v>
      </c>
      <c r="C31" s="2" t="s">
        <v>154</v>
      </c>
      <c r="D31" s="6" t="n">
        <v>446</v>
      </c>
      <c r="E31" s="7" t="n">
        <v>0</v>
      </c>
      <c r="F31" s="8" t="n">
        <v>-0.007</v>
      </c>
      <c r="G31" s="7" t="n">
        <v>0.169</v>
      </c>
      <c r="H31" s="7" t="n">
        <v>0.456</v>
      </c>
      <c r="I31" s="6" t="n">
        <v>157.503</v>
      </c>
      <c r="J31" s="7" t="n">
        <v>0.305</v>
      </c>
    </row>
    <row r="32" customFormat="false" ht="15" hidden="false" customHeight="false" outlineLevel="0" collapsed="false">
      <c r="A32" s="2" t="s">
        <v>171</v>
      </c>
      <c r="B32" s="6" t="n">
        <v>72</v>
      </c>
      <c r="C32" s="2" t="s">
        <v>148</v>
      </c>
      <c r="D32" s="6" t="n">
        <v>448</v>
      </c>
      <c r="E32" s="7" t="n">
        <v>0</v>
      </c>
      <c r="F32" s="8" t="n">
        <v>-0.601</v>
      </c>
      <c r="G32" s="7" t="n">
        <v>0.604</v>
      </c>
      <c r="H32" s="7" t="n">
        <v>0.836</v>
      </c>
      <c r="I32" s="6" t="n">
        <v>990.053</v>
      </c>
      <c r="J32" s="7" t="n">
        <v>0.054</v>
      </c>
    </row>
    <row r="33" customFormat="false" ht="15" hidden="false" customHeight="false" outlineLevel="0" collapsed="false">
      <c r="A33" s="2" t="s">
        <v>171</v>
      </c>
      <c r="B33" s="6" t="n">
        <v>72</v>
      </c>
      <c r="C33" s="2" t="s">
        <v>149</v>
      </c>
      <c r="D33" s="6" t="n">
        <v>448</v>
      </c>
      <c r="E33" s="7" t="n">
        <v>0</v>
      </c>
      <c r="F33" s="8" t="n">
        <v>-0.146</v>
      </c>
      <c r="G33" s="7" t="n">
        <v>0.423</v>
      </c>
      <c r="H33" s="7" t="n">
        <v>1.108</v>
      </c>
      <c r="I33" s="6" t="n">
        <v>257.024</v>
      </c>
      <c r="J33" s="7" t="n">
        <v>0.143</v>
      </c>
    </row>
    <row r="34" customFormat="false" ht="15" hidden="false" customHeight="false" outlineLevel="0" collapsed="false">
      <c r="A34" s="2" t="s">
        <v>171</v>
      </c>
      <c r="B34" s="6" t="n">
        <v>72</v>
      </c>
      <c r="C34" s="2" t="s">
        <v>150</v>
      </c>
      <c r="D34" s="6" t="n">
        <v>448</v>
      </c>
      <c r="E34" s="7" t="n">
        <v>0.089</v>
      </c>
      <c r="F34" s="8" t="n">
        <v>-0.251</v>
      </c>
      <c r="G34" s="7" t="n">
        <v>0.452</v>
      </c>
      <c r="H34" s="7" t="n">
        <v>2.036</v>
      </c>
      <c r="I34" s="6" t="n">
        <v>414.841</v>
      </c>
      <c r="J34" s="7" t="n">
        <v>0.118</v>
      </c>
    </row>
    <row r="35" customFormat="false" ht="15" hidden="false" customHeight="false" outlineLevel="0" collapsed="false">
      <c r="A35" s="2" t="s">
        <v>171</v>
      </c>
      <c r="B35" s="6" t="n">
        <v>72</v>
      </c>
      <c r="C35" s="2" t="s">
        <v>151</v>
      </c>
      <c r="D35" s="6" t="n">
        <v>448</v>
      </c>
      <c r="E35" s="7" t="n">
        <v>0.089</v>
      </c>
      <c r="F35" s="8" t="n">
        <v>0.006</v>
      </c>
      <c r="G35" s="7" t="n">
        <v>0.415</v>
      </c>
      <c r="H35" s="7" t="n">
        <v>0.979</v>
      </c>
      <c r="I35" s="6" t="n">
        <v>344.078</v>
      </c>
      <c r="J35" s="7" t="n">
        <v>0.127</v>
      </c>
    </row>
    <row r="36" customFormat="false" ht="15" hidden="false" customHeight="false" outlineLevel="0" collapsed="false">
      <c r="A36" s="2" t="s">
        <v>171</v>
      </c>
      <c r="B36" s="6" t="n">
        <v>72</v>
      </c>
      <c r="C36" s="2" t="s">
        <v>152</v>
      </c>
      <c r="D36" s="6" t="n">
        <v>448</v>
      </c>
      <c r="E36" s="7" t="n">
        <v>0.089</v>
      </c>
      <c r="F36" s="8" t="n">
        <v>0.345</v>
      </c>
      <c r="G36" s="7" t="n">
        <v>0.554</v>
      </c>
      <c r="H36" s="7" t="n">
        <v>1.857</v>
      </c>
      <c r="I36" s="6" t="n">
        <v>549.07</v>
      </c>
      <c r="J36" s="7" t="n">
        <v>0.083</v>
      </c>
    </row>
    <row r="37" customFormat="false" ht="15" hidden="false" customHeight="false" outlineLevel="0" collapsed="false">
      <c r="A37" s="2" t="s">
        <v>171</v>
      </c>
      <c r="B37" s="6" t="n">
        <v>72</v>
      </c>
      <c r="C37" s="2" t="s">
        <v>153</v>
      </c>
      <c r="D37" s="6" t="n">
        <v>448</v>
      </c>
      <c r="E37" s="7" t="n">
        <v>0</v>
      </c>
      <c r="F37" s="8" t="n">
        <v>0.017</v>
      </c>
      <c r="G37" s="7" t="n">
        <v>0.162</v>
      </c>
      <c r="H37" s="7" t="n">
        <v>0.429</v>
      </c>
      <c r="I37" s="6" t="n">
        <v>152.863</v>
      </c>
      <c r="J37" s="7" t="n">
        <v>0.35</v>
      </c>
    </row>
    <row r="38" customFormat="false" ht="15" hidden="false" customHeight="false" outlineLevel="0" collapsed="false">
      <c r="A38" s="2" t="s">
        <v>171</v>
      </c>
      <c r="B38" s="6" t="n">
        <v>72</v>
      </c>
      <c r="C38" s="2" t="s">
        <v>154</v>
      </c>
      <c r="D38" s="6" t="n">
        <v>448</v>
      </c>
      <c r="E38" s="7" t="n">
        <v>0</v>
      </c>
      <c r="F38" s="8" t="n">
        <v>0.003</v>
      </c>
      <c r="G38" s="7" t="n">
        <v>0.144</v>
      </c>
      <c r="H38" s="7" t="n">
        <v>0.396</v>
      </c>
      <c r="I38" s="6" t="n">
        <v>139.588</v>
      </c>
      <c r="J38" s="7" t="n">
        <v>0.371</v>
      </c>
    </row>
    <row r="39" customFormat="false" ht="15" hidden="false" customHeight="false" outlineLevel="0" collapsed="false">
      <c r="A39" s="2" t="s">
        <v>171</v>
      </c>
      <c r="B39" s="6" t="n">
        <v>168</v>
      </c>
      <c r="C39" s="2" t="s">
        <v>148</v>
      </c>
      <c r="D39" s="6" t="n">
        <v>448</v>
      </c>
      <c r="E39" s="7" t="n">
        <v>0</v>
      </c>
      <c r="F39" s="8" t="n">
        <v>-0.464</v>
      </c>
      <c r="G39" s="7" t="n">
        <v>0.492</v>
      </c>
      <c r="H39" s="7" t="n">
        <v>0.788</v>
      </c>
      <c r="I39" s="6" t="n">
        <v>765.095</v>
      </c>
      <c r="J39" s="7" t="n">
        <v>0.054</v>
      </c>
    </row>
    <row r="40" customFormat="false" ht="15" hidden="false" customHeight="false" outlineLevel="0" collapsed="false">
      <c r="A40" s="2" t="s">
        <v>171</v>
      </c>
      <c r="B40" s="6" t="n">
        <v>168</v>
      </c>
      <c r="C40" s="2" t="s">
        <v>149</v>
      </c>
      <c r="D40" s="6" t="n">
        <v>448</v>
      </c>
      <c r="E40" s="7" t="n">
        <v>0</v>
      </c>
      <c r="F40" s="8" t="n">
        <v>-0.032</v>
      </c>
      <c r="G40" s="7" t="n">
        <v>0.381</v>
      </c>
      <c r="H40" s="7" t="n">
        <v>1.42</v>
      </c>
      <c r="I40" s="6" t="n">
        <v>223.127</v>
      </c>
      <c r="J40" s="7" t="n">
        <v>0.165</v>
      </c>
    </row>
    <row r="41" customFormat="false" ht="15" hidden="false" customHeight="false" outlineLevel="0" collapsed="false">
      <c r="A41" s="2" t="s">
        <v>171</v>
      </c>
      <c r="B41" s="6" t="n">
        <v>168</v>
      </c>
      <c r="C41" s="2" t="s">
        <v>150</v>
      </c>
      <c r="D41" s="6" t="n">
        <v>448</v>
      </c>
      <c r="E41" s="7" t="n">
        <v>0.1</v>
      </c>
      <c r="F41" s="8" t="n">
        <v>-0.284</v>
      </c>
      <c r="G41" s="7" t="n">
        <v>0.475</v>
      </c>
      <c r="H41" s="7" t="n">
        <v>1.234</v>
      </c>
      <c r="I41" s="6" t="n">
        <v>393.298</v>
      </c>
      <c r="J41" s="7" t="n">
        <v>0.074</v>
      </c>
    </row>
    <row r="42" customFormat="false" ht="15" hidden="false" customHeight="false" outlineLevel="0" collapsed="false">
      <c r="A42" s="2" t="s">
        <v>171</v>
      </c>
      <c r="B42" s="6" t="n">
        <v>168</v>
      </c>
      <c r="C42" s="2" t="s">
        <v>151</v>
      </c>
      <c r="D42" s="6" t="n">
        <v>448</v>
      </c>
      <c r="E42" s="7" t="n">
        <v>0.1</v>
      </c>
      <c r="F42" s="8" t="n">
        <v>-0.183</v>
      </c>
      <c r="G42" s="7" t="n">
        <v>0.332</v>
      </c>
      <c r="H42" s="7" t="n">
        <v>0.763</v>
      </c>
      <c r="I42" s="6" t="n">
        <v>322.661</v>
      </c>
      <c r="J42" s="7" t="n">
        <v>0.123</v>
      </c>
    </row>
    <row r="43" customFormat="false" ht="15" hidden="false" customHeight="false" outlineLevel="0" collapsed="false">
      <c r="A43" s="2" t="s">
        <v>171</v>
      </c>
      <c r="B43" s="6" t="n">
        <v>168</v>
      </c>
      <c r="C43" s="2" t="s">
        <v>152</v>
      </c>
      <c r="D43" s="6" t="n">
        <v>448</v>
      </c>
      <c r="E43" s="7" t="n">
        <v>0.1</v>
      </c>
      <c r="F43" s="8" t="n">
        <v>0.247</v>
      </c>
      <c r="G43" s="7" t="n">
        <v>0.457</v>
      </c>
      <c r="H43" s="7" t="n">
        <v>1.344</v>
      </c>
      <c r="I43" s="6" t="n">
        <v>434.296</v>
      </c>
      <c r="J43" s="7" t="n">
        <v>0.105</v>
      </c>
    </row>
    <row r="44" customFormat="false" ht="15" hidden="false" customHeight="false" outlineLevel="0" collapsed="false">
      <c r="A44" s="2" t="s">
        <v>171</v>
      </c>
      <c r="B44" s="6" t="n">
        <v>168</v>
      </c>
      <c r="C44" s="2" t="s">
        <v>153</v>
      </c>
      <c r="D44" s="6" t="n">
        <v>448</v>
      </c>
      <c r="E44" s="7" t="n">
        <v>0</v>
      </c>
      <c r="F44" s="8" t="n">
        <v>0.013</v>
      </c>
      <c r="G44" s="7" t="n">
        <v>0.161</v>
      </c>
      <c r="H44" s="7" t="n">
        <v>0.41</v>
      </c>
      <c r="I44" s="6" t="n">
        <v>142.781</v>
      </c>
      <c r="J44" s="7" t="n">
        <v>0.337</v>
      </c>
    </row>
    <row r="45" customFormat="false" ht="15" hidden="false" customHeight="false" outlineLevel="0" collapsed="false">
      <c r="A45" s="2" t="s">
        <v>171</v>
      </c>
      <c r="B45" s="6" t="n">
        <v>168</v>
      </c>
      <c r="C45" s="2" t="s">
        <v>154</v>
      </c>
      <c r="D45" s="6" t="n">
        <v>448</v>
      </c>
      <c r="E45" s="7" t="n">
        <v>0</v>
      </c>
      <c r="F45" s="8" t="n">
        <v>0</v>
      </c>
      <c r="G45" s="7" t="n">
        <v>0.151</v>
      </c>
      <c r="H45" s="7" t="n">
        <v>0.397</v>
      </c>
      <c r="I45" s="6" t="n">
        <v>144.684</v>
      </c>
      <c r="J45" s="7" t="n">
        <v>0.359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8" min="7" style="0" width="10"/>
    <col collapsed="false" customWidth="true" hidden="false" outlineLevel="0" max="11" min="9" style="0" width="9"/>
    <col collapsed="false" customWidth="true" hidden="false" outlineLevel="0" max="14" min="12" style="0" width="10"/>
    <col collapsed="false" customWidth="true" hidden="false" outlineLevel="0" max="19" min="15" style="0" width="9"/>
    <col collapsed="false" customWidth="true" hidden="false" outlineLevel="0" max="21" min="20" style="0" width="11"/>
    <col collapsed="false" customWidth="true" hidden="false" outlineLevel="0" max="22" min="22" style="0" width="14"/>
    <col collapsed="false" customWidth="true" hidden="false" outlineLevel="0" max="23" min="23" style="0" width="10"/>
  </cols>
  <sheetData>
    <row r="1" customFormat="false" ht="16.15" hidden="false" customHeight="false" outlineLevel="0" collapsed="false">
      <c r="A1" s="4" t="s">
        <v>172</v>
      </c>
    </row>
    <row r="3" customFormat="false" ht="37.3" hidden="false" customHeight="false" outlineLevel="0" collapsed="false">
      <c r="A3" s="5" t="s">
        <v>173</v>
      </c>
      <c r="B3" s="5" t="s">
        <v>133</v>
      </c>
      <c r="C3" s="5" t="s">
        <v>174</v>
      </c>
      <c r="D3" s="5" t="s">
        <v>175</v>
      </c>
      <c r="E3" s="5" t="s">
        <v>176</v>
      </c>
      <c r="F3" s="5" t="s">
        <v>177</v>
      </c>
      <c r="G3" s="5" t="s">
        <v>178</v>
      </c>
      <c r="H3" s="5" t="s">
        <v>179</v>
      </c>
      <c r="I3" s="5" t="s">
        <v>180</v>
      </c>
      <c r="J3" s="5" t="s">
        <v>181</v>
      </c>
      <c r="K3" s="5" t="s">
        <v>182</v>
      </c>
      <c r="L3" s="5" t="s">
        <v>183</v>
      </c>
      <c r="M3" s="5" t="s">
        <v>184</v>
      </c>
      <c r="N3" s="5" t="s">
        <v>185</v>
      </c>
      <c r="O3" s="5" t="s">
        <v>186</v>
      </c>
      <c r="P3" s="5" t="s">
        <v>187</v>
      </c>
      <c r="Q3" s="5" t="s">
        <v>188</v>
      </c>
      <c r="R3" s="5" t="s">
        <v>189</v>
      </c>
      <c r="S3" s="5" t="s">
        <v>190</v>
      </c>
      <c r="T3" s="5" t="s">
        <v>191</v>
      </c>
      <c r="U3" s="5" t="s">
        <v>192</v>
      </c>
      <c r="V3" s="5" t="s">
        <v>193</v>
      </c>
      <c r="W3" s="5" t="s">
        <v>194</v>
      </c>
    </row>
    <row r="4" customFormat="false" ht="15" hidden="false" customHeight="false" outlineLevel="0" collapsed="false">
      <c r="A4" s="2" t="s">
        <v>195</v>
      </c>
      <c r="B4" s="6" t="n">
        <v>24</v>
      </c>
      <c r="C4" s="16" t="n">
        <v>36</v>
      </c>
      <c r="D4" s="6" t="n">
        <v>216.7</v>
      </c>
      <c r="E4" s="17" t="n">
        <v>767.169982910156</v>
      </c>
      <c r="F4" s="17" t="n">
        <v>1037.40002441406</v>
      </c>
      <c r="G4" s="17" t="n">
        <v>2848.41259765625</v>
      </c>
      <c r="H4" s="17" t="n">
        <v>1410.47046131741</v>
      </c>
      <c r="I4" s="17" t="n">
        <v>2012.91805003486</v>
      </c>
      <c r="J4" s="17" t="n">
        <v>2468.36684737816</v>
      </c>
      <c r="K4" s="17" t="n">
        <v>3026.56106127058</v>
      </c>
      <c r="L4" s="17" t="n">
        <v>2448.22451949397</v>
      </c>
      <c r="M4" s="17" t="n">
        <v>2868.77397220673</v>
      </c>
      <c r="N4" s="17" t="n">
        <v>3521.8376205675</v>
      </c>
      <c r="O4" s="17" t="n">
        <v>3588.50831513318</v>
      </c>
      <c r="P4" s="17" t="n">
        <v>1925.92215179843</v>
      </c>
      <c r="Q4" s="17" t="n">
        <v>2138.86129843652</v>
      </c>
      <c r="R4" s="17" t="n">
        <v>2421.67601216826</v>
      </c>
      <c r="S4" s="17" t="n">
        <v>2891.1147969227</v>
      </c>
      <c r="T4" s="17" t="n">
        <v>1910.95198075429</v>
      </c>
      <c r="U4" s="17" t="n">
        <v>3730.7247086243</v>
      </c>
      <c r="V4" s="2" t="s">
        <v>196</v>
      </c>
      <c r="W4" s="16" t="n">
        <v>3.559421866958</v>
      </c>
    </row>
    <row r="5" customFormat="false" ht="15" hidden="false" customHeight="false" outlineLevel="0" collapsed="false">
      <c r="A5" s="2" t="s">
        <v>195</v>
      </c>
      <c r="B5" s="6" t="n">
        <v>36</v>
      </c>
      <c r="C5" s="16" t="n">
        <v>36</v>
      </c>
      <c r="D5" s="6" t="n">
        <v>216.7</v>
      </c>
      <c r="E5" s="17" t="n">
        <v>767.169982910156</v>
      </c>
      <c r="F5" s="17" t="n">
        <v>1090.47869364673</v>
      </c>
      <c r="G5" s="17" t="n">
        <v>2848.41259765625</v>
      </c>
      <c r="H5" s="17" t="n">
        <v>1495.26282351149</v>
      </c>
      <c r="I5" s="17" t="n">
        <v>1995.65673224948</v>
      </c>
      <c r="J5" s="17" t="n">
        <v>2450.84457879763</v>
      </c>
      <c r="K5" s="17" t="n">
        <v>3041.47665876026</v>
      </c>
      <c r="L5" s="17" t="n">
        <v>2435.50463571966</v>
      </c>
      <c r="M5" s="17" t="n">
        <v>2809.22707074101</v>
      </c>
      <c r="N5" s="17" t="n">
        <v>3512.37879337776</v>
      </c>
      <c r="O5" s="17" t="n">
        <v>3402.92142112552</v>
      </c>
      <c r="P5" s="17" t="n">
        <v>2328.04212134053</v>
      </c>
      <c r="Q5" s="17" t="n">
        <v>2620.39149902933</v>
      </c>
      <c r="R5" s="17" t="n">
        <v>2995.07993578392</v>
      </c>
      <c r="S5" s="17" t="n">
        <v>3197.59631318813</v>
      </c>
      <c r="T5" s="17" t="n">
        <v>2019.64316599061</v>
      </c>
      <c r="U5" s="17" t="n">
        <v>3796.42840616115</v>
      </c>
      <c r="V5" s="2" t="s">
        <v>196</v>
      </c>
      <c r="W5" s="16" t="n">
        <v>3.7294020820418</v>
      </c>
    </row>
    <row r="6" customFormat="false" ht="15" hidden="false" customHeight="false" outlineLevel="0" collapsed="false">
      <c r="A6" s="2" t="s">
        <v>197</v>
      </c>
      <c r="B6" s="6" t="n">
        <v>24</v>
      </c>
      <c r="C6" s="16" t="n">
        <v>84.4</v>
      </c>
      <c r="D6" s="6" t="n">
        <v>208.2</v>
      </c>
      <c r="E6" s="17" t="n">
        <v>1070.57495117188</v>
      </c>
      <c r="F6" s="17" t="n">
        <v>1206.30004882813</v>
      </c>
      <c r="G6" s="17" t="n">
        <v>2844.15478515625</v>
      </c>
      <c r="H6" s="17" t="n">
        <v>1439.27146193194</v>
      </c>
      <c r="I6" s="17" t="n">
        <v>2047.06065354572</v>
      </c>
      <c r="J6" s="17" t="n">
        <v>2454.32217028788</v>
      </c>
      <c r="K6" s="17" t="n">
        <v>3015.0003031447</v>
      </c>
      <c r="L6" s="17" t="n">
        <v>2037.30205702095</v>
      </c>
      <c r="M6" s="17" t="n">
        <v>2245.76039628825</v>
      </c>
      <c r="N6" s="17" t="n">
        <v>2561.58558908501</v>
      </c>
      <c r="O6" s="17" t="n">
        <v>2283.06901549988</v>
      </c>
      <c r="P6" s="17" t="n">
        <v>1772.03956471148</v>
      </c>
      <c r="Q6" s="17" t="n">
        <v>1917.48476088236</v>
      </c>
      <c r="R6" s="17" t="n">
        <v>2118.33071327916</v>
      </c>
      <c r="S6" s="17" t="n">
        <v>2680.27349780575</v>
      </c>
      <c r="T6" s="17" t="n">
        <v>1726.06358503052</v>
      </c>
      <c r="U6" s="17" t="n">
        <v>3266.72227101553</v>
      </c>
      <c r="V6" s="2" t="s">
        <v>196</v>
      </c>
      <c r="W6" s="16" t="n">
        <v>4.3859673260095</v>
      </c>
    </row>
    <row r="7" customFormat="false" ht="15" hidden="false" customHeight="false" outlineLevel="0" collapsed="false">
      <c r="A7" s="2" t="s">
        <v>197</v>
      </c>
      <c r="B7" s="6" t="n">
        <v>72</v>
      </c>
      <c r="C7" s="16" t="n">
        <v>84.4</v>
      </c>
      <c r="D7" s="6" t="n">
        <v>208.2</v>
      </c>
      <c r="E7" s="17" t="n">
        <v>1070.57495117188</v>
      </c>
      <c r="F7" s="17" t="n">
        <v>1258.94995117188</v>
      </c>
      <c r="G7" s="17" t="n">
        <v>2844.15478515625</v>
      </c>
      <c r="H7" s="17" t="n">
        <v>1486.62939307295</v>
      </c>
      <c r="I7" s="17" t="n">
        <v>2070.13866545106</v>
      </c>
      <c r="J7" s="17" t="n">
        <v>2490.90186755707</v>
      </c>
      <c r="K7" s="17" t="n">
        <v>3015.73089472895</v>
      </c>
      <c r="L7" s="17" t="n">
        <v>1703.40681590176</v>
      </c>
      <c r="M7" s="17" t="n">
        <v>1854.48893020857</v>
      </c>
      <c r="N7" s="17" t="n">
        <v>2094.04243750045</v>
      </c>
      <c r="O7" s="17" t="n">
        <v>2146.50726982597</v>
      </c>
      <c r="P7" s="17" t="n">
        <v>1374.95031101053</v>
      </c>
      <c r="Q7" s="17" t="n">
        <v>1410.70287541527</v>
      </c>
      <c r="R7" s="17" t="n">
        <v>1448.3268390782</v>
      </c>
      <c r="S7" s="17" t="n">
        <v>2267.06836254493</v>
      </c>
      <c r="T7" s="17" t="n">
        <v>1540.26756108615</v>
      </c>
      <c r="U7" s="17" t="n">
        <v>2267.06836254493</v>
      </c>
      <c r="V7" s="2" t="s">
        <v>198</v>
      </c>
      <c r="W7" s="16" t="n">
        <v>4.3031524380829</v>
      </c>
    </row>
    <row r="8" customFormat="false" ht="15" hidden="false" customHeight="false" outlineLevel="0" collapsed="false">
      <c r="A8" s="2" t="s">
        <v>199</v>
      </c>
      <c r="B8" s="6" t="n">
        <v>24</v>
      </c>
      <c r="C8" s="16" t="n">
        <v>71.9</v>
      </c>
      <c r="D8" s="6" t="n">
        <v>203.8</v>
      </c>
      <c r="E8" s="17" t="n">
        <v>981.782470703125</v>
      </c>
      <c r="F8" s="17" t="n">
        <v>1200.69995117188</v>
      </c>
      <c r="G8" s="17" t="n">
        <v>2838.97192382813</v>
      </c>
      <c r="H8" s="17" t="n">
        <v>1519.8601527736</v>
      </c>
      <c r="I8" s="17" t="n">
        <v>1642.04807974246</v>
      </c>
      <c r="J8" s="17" t="n">
        <v>1994.59814873017</v>
      </c>
      <c r="K8" s="17" t="n">
        <v>2506.52258515446</v>
      </c>
      <c r="L8" s="17" t="n">
        <v>2010.60088130777</v>
      </c>
      <c r="M8" s="17" t="n">
        <v>2231.07264395617</v>
      </c>
      <c r="N8" s="17" t="n">
        <v>2558.24663470171</v>
      </c>
      <c r="O8" s="17" t="n">
        <v>2634.6908511893</v>
      </c>
      <c r="P8" s="17" t="n">
        <v>1880.37120269543</v>
      </c>
      <c r="Q8" s="17" t="n">
        <v>2093.0693614183</v>
      </c>
      <c r="R8" s="17" t="n">
        <v>2261.12235542959</v>
      </c>
      <c r="S8" s="17" t="n">
        <v>2391.39592602215</v>
      </c>
      <c r="T8" s="17" t="n">
        <v>1472.3023115501</v>
      </c>
      <c r="U8" s="17" t="n">
        <v>3384.58663471481</v>
      </c>
      <c r="V8" s="2" t="s">
        <v>196</v>
      </c>
      <c r="W8" s="16" t="n">
        <v>6.9369044174802</v>
      </c>
    </row>
    <row r="9" customFormat="false" ht="15" hidden="false" customHeight="false" outlineLevel="0" collapsed="false">
      <c r="A9" s="2" t="s">
        <v>199</v>
      </c>
      <c r="B9" s="6" t="n">
        <v>71.9</v>
      </c>
      <c r="C9" s="16" t="n">
        <v>71.9</v>
      </c>
      <c r="D9" s="6" t="n">
        <v>203.8</v>
      </c>
      <c r="E9" s="17" t="n">
        <v>981.782470703125</v>
      </c>
      <c r="F9" s="17" t="n">
        <v>1273.5</v>
      </c>
      <c r="G9" s="17" t="n">
        <v>2838.97192382813</v>
      </c>
      <c r="H9" s="17" t="n">
        <v>1605.05743542139</v>
      </c>
      <c r="I9" s="17" t="n">
        <v>1656.02928072638</v>
      </c>
      <c r="J9" s="17" t="n">
        <v>2022.29714879853</v>
      </c>
      <c r="K9" s="17" t="n">
        <v>2493.32389736995</v>
      </c>
      <c r="L9" s="17" t="n">
        <v>1740.60787790362</v>
      </c>
      <c r="M9" s="17" t="n">
        <v>1912.25835477804</v>
      </c>
      <c r="N9" s="17" t="n">
        <v>2169.73635498387</v>
      </c>
      <c r="O9" s="17" t="n">
        <v>2394.78180092179</v>
      </c>
      <c r="P9" s="17" t="n">
        <v>1459.79848281294</v>
      </c>
      <c r="Q9" s="17" t="n">
        <v>1485.51275310615</v>
      </c>
      <c r="R9" s="17" t="n">
        <v>1527.2727723736</v>
      </c>
      <c r="S9" s="17" t="n">
        <v>1969.62700650654</v>
      </c>
      <c r="T9" s="17" t="n">
        <v>1441.9026710828</v>
      </c>
      <c r="U9" s="17" t="n">
        <v>2137.23440694907</v>
      </c>
      <c r="V9" s="2" t="s">
        <v>196</v>
      </c>
      <c r="W9" s="16" t="n">
        <v>6.8300924019161</v>
      </c>
    </row>
    <row r="10" customFormat="false" ht="15" hidden="false" customHeight="false" outlineLevel="0" collapsed="false">
      <c r="A10" s="2" t="s">
        <v>200</v>
      </c>
      <c r="B10" s="6" t="n">
        <v>24</v>
      </c>
      <c r="C10" s="16" t="n">
        <v>71.6</v>
      </c>
      <c r="D10" s="6" t="n">
        <v>215.2</v>
      </c>
      <c r="E10" s="17" t="n">
        <v>798.559997558594</v>
      </c>
      <c r="F10" s="17" t="n">
        <v>1104.19995117188</v>
      </c>
      <c r="G10" s="17" t="n">
        <v>2836.09985351563</v>
      </c>
      <c r="H10" s="17" t="n">
        <v>1552.92316874841</v>
      </c>
      <c r="I10" s="17" t="n">
        <v>1361.35952200439</v>
      </c>
      <c r="J10" s="17" t="n">
        <v>1756.94224231113</v>
      </c>
      <c r="K10" s="17" t="n">
        <v>2277.59012690738</v>
      </c>
      <c r="L10" s="17" t="n">
        <v>2046.53881221223</v>
      </c>
      <c r="M10" s="17" t="n">
        <v>2444.6271313556</v>
      </c>
      <c r="N10" s="17" t="n">
        <v>2909.68229690952</v>
      </c>
      <c r="O10" s="17" t="n">
        <v>2935.21559745742</v>
      </c>
      <c r="P10" s="17" t="n">
        <v>2043.78827882921</v>
      </c>
      <c r="Q10" s="17" t="n">
        <v>2221.25962885264</v>
      </c>
      <c r="R10" s="17" t="n">
        <v>2636.0807286602</v>
      </c>
      <c r="S10" s="17" t="n">
        <v>2206.57391455799</v>
      </c>
      <c r="T10" s="17" t="n">
        <v>1527.30074327645</v>
      </c>
      <c r="U10" s="17" t="n">
        <v>3616.49695833441</v>
      </c>
      <c r="V10" s="2" t="s">
        <v>196</v>
      </c>
      <c r="W10" s="16" t="n">
        <v>7.9118857554622</v>
      </c>
    </row>
    <row r="11" customFormat="false" ht="15" hidden="false" customHeight="false" outlineLevel="0" collapsed="false">
      <c r="A11" s="2" t="s">
        <v>200</v>
      </c>
      <c r="B11" s="6" t="n">
        <v>71.6</v>
      </c>
      <c r="C11" s="16" t="n">
        <v>71.6</v>
      </c>
      <c r="D11" s="6" t="n">
        <v>215.2</v>
      </c>
      <c r="E11" s="17" t="n">
        <v>798.559997558594</v>
      </c>
      <c r="F11" s="17" t="n">
        <v>1192.69995117188</v>
      </c>
      <c r="G11" s="17" t="n">
        <v>2836.09985351563</v>
      </c>
      <c r="H11" s="17" t="n">
        <v>1629.6246646716</v>
      </c>
      <c r="I11" s="17" t="n">
        <v>1368.07649091285</v>
      </c>
      <c r="J11" s="17" t="n">
        <v>1729.01638085011</v>
      </c>
      <c r="K11" s="17" t="n">
        <v>2232.40931469671</v>
      </c>
      <c r="L11" s="17" t="n">
        <v>1678.25784915778</v>
      </c>
      <c r="M11" s="17" t="n">
        <v>1907.90428591545</v>
      </c>
      <c r="N11" s="17" t="n">
        <v>2179.45476865464</v>
      </c>
      <c r="O11" s="17" t="n">
        <v>2568.40887642216</v>
      </c>
      <c r="P11" s="17" t="n">
        <v>1448.07318157805</v>
      </c>
      <c r="Q11" s="17" t="n">
        <v>1477.94585521455</v>
      </c>
      <c r="R11" s="17" t="n">
        <v>1531.30752603046</v>
      </c>
      <c r="S11" s="17" t="n">
        <v>1704.03021516428</v>
      </c>
      <c r="T11" s="17" t="n">
        <v>1402.4947544876</v>
      </c>
      <c r="U11" s="17" t="n">
        <v>2048.59878772662</v>
      </c>
      <c r="V11" s="2" t="s">
        <v>196</v>
      </c>
      <c r="W11" s="16" t="n">
        <v>8.0433279639019</v>
      </c>
    </row>
    <row r="12" customFormat="false" ht="15" hidden="false" customHeight="false" outlineLevel="0" collapsed="false">
      <c r="A12" s="2" t="s">
        <v>201</v>
      </c>
      <c r="B12" s="6" t="n">
        <v>24</v>
      </c>
      <c r="C12" s="16" t="n">
        <v>71.5</v>
      </c>
      <c r="D12" s="6" t="n">
        <v>207.3</v>
      </c>
      <c r="E12" s="17" t="n">
        <v>760.300048828125</v>
      </c>
      <c r="F12" s="17" t="n">
        <v>1092</v>
      </c>
      <c r="G12" s="17" t="n">
        <v>2830.31591796875</v>
      </c>
      <c r="H12" s="17" t="n">
        <v>1538.34121534218</v>
      </c>
      <c r="I12" s="17" t="n">
        <v>1200.95101765928</v>
      </c>
      <c r="J12" s="17" t="n">
        <v>1578.70600124935</v>
      </c>
      <c r="K12" s="17" t="n">
        <v>2060.58354691349</v>
      </c>
      <c r="L12" s="17" t="n">
        <v>1847.58903371053</v>
      </c>
      <c r="M12" s="17" t="n">
        <v>2181.73075143217</v>
      </c>
      <c r="N12" s="17" t="n">
        <v>2601.43290701524</v>
      </c>
      <c r="O12" s="17" t="n">
        <v>2830.40306971622</v>
      </c>
      <c r="P12" s="17" t="n">
        <v>2068.7504366312</v>
      </c>
      <c r="Q12" s="17" t="n">
        <v>2158.3680009468</v>
      </c>
      <c r="R12" s="17" t="n">
        <v>2301.14116858716</v>
      </c>
      <c r="S12" s="17" t="n">
        <v>1909.32752697568</v>
      </c>
      <c r="T12" s="17" t="n">
        <v>1394.60328001698</v>
      </c>
      <c r="U12" s="17" t="n">
        <v>3267.06303933711</v>
      </c>
      <c r="V12" s="2" t="s">
        <v>196</v>
      </c>
      <c r="W12" s="16" t="n">
        <v>10.5753598824078</v>
      </c>
    </row>
    <row r="13" customFormat="false" ht="15" hidden="false" customHeight="false" outlineLevel="0" collapsed="false">
      <c r="A13" s="2" t="s">
        <v>201</v>
      </c>
      <c r="B13" s="6" t="n">
        <v>71.5</v>
      </c>
      <c r="C13" s="16" t="n">
        <v>71.5</v>
      </c>
      <c r="D13" s="6" t="n">
        <v>207.3</v>
      </c>
      <c r="E13" s="17" t="n">
        <v>760.300048828125</v>
      </c>
      <c r="F13" s="17" t="n">
        <v>1170</v>
      </c>
      <c r="G13" s="17" t="n">
        <v>2830.31591796875</v>
      </c>
      <c r="H13" s="17" t="n">
        <v>1627.14743552447</v>
      </c>
      <c r="I13" s="17" t="n">
        <v>1215.75191026236</v>
      </c>
      <c r="J13" s="17" t="n">
        <v>1577.48607715459</v>
      </c>
      <c r="K13" s="17" t="n">
        <v>2150.0691929342</v>
      </c>
      <c r="L13" s="17" t="n">
        <v>1519.85702761447</v>
      </c>
      <c r="M13" s="17" t="n">
        <v>1748.24137831441</v>
      </c>
      <c r="N13" s="17" t="n">
        <v>2095.67304719504</v>
      </c>
      <c r="O13" s="17" t="n">
        <v>2468.02768723958</v>
      </c>
      <c r="P13" s="17" t="n">
        <v>1408.30208415437</v>
      </c>
      <c r="Q13" s="17" t="n">
        <v>1438.16457767994</v>
      </c>
      <c r="R13" s="17" t="n">
        <v>1480.88211643191</v>
      </c>
      <c r="S13" s="17" t="n">
        <v>1579.85979571977</v>
      </c>
      <c r="T13" s="17" t="n">
        <v>1352.13673163898</v>
      </c>
      <c r="U13" s="17" t="n">
        <v>2026.35421430857</v>
      </c>
      <c r="V13" s="2" t="s">
        <v>196</v>
      </c>
      <c r="W13" s="16" t="n">
        <v>10.4318756453865</v>
      </c>
    </row>
    <row r="14" customFormat="false" ht="15" hidden="false" customHeight="false" outlineLevel="0" collapsed="false">
      <c r="A14" s="2" t="s">
        <v>202</v>
      </c>
      <c r="B14" s="6" t="n">
        <v>24</v>
      </c>
      <c r="C14" s="16" t="n">
        <v>71.1</v>
      </c>
      <c r="D14" s="6" t="n">
        <v>219.5</v>
      </c>
      <c r="E14" s="17" t="n">
        <v>621.8349609375</v>
      </c>
      <c r="F14" s="17" t="n">
        <v>958.619995117188</v>
      </c>
      <c r="G14" s="17" t="n">
        <v>2833.52001953125</v>
      </c>
      <c r="H14" s="17" t="n">
        <v>1379.98590582427</v>
      </c>
      <c r="I14" s="17" t="n">
        <v>1154.85417672985</v>
      </c>
      <c r="J14" s="17" t="n">
        <v>1542.41344155554</v>
      </c>
      <c r="K14" s="17" t="n">
        <v>1932.55212879085</v>
      </c>
      <c r="L14" s="17" t="n">
        <v>1649.71990769825</v>
      </c>
      <c r="M14" s="17" t="n">
        <v>1977.00826296472</v>
      </c>
      <c r="N14" s="17" t="n">
        <v>2291.54894146765</v>
      </c>
      <c r="O14" s="17" t="n">
        <v>2760.56610912159</v>
      </c>
      <c r="P14" s="17" t="n">
        <v>1609.08434240269</v>
      </c>
      <c r="Q14" s="17" t="n">
        <v>1779.650457597</v>
      </c>
      <c r="R14" s="17" t="n">
        <v>1923.67182617891</v>
      </c>
      <c r="S14" s="17" t="n">
        <v>1638.14172491655</v>
      </c>
      <c r="T14" s="17" t="n">
        <v>1226.91598342123</v>
      </c>
      <c r="U14" s="17" t="n">
        <v>2916.44244279013</v>
      </c>
      <c r="V14" s="2" t="s">
        <v>196</v>
      </c>
      <c r="W14" s="16" t="n">
        <v>10.5252128523058</v>
      </c>
    </row>
    <row r="15" customFormat="false" ht="15" hidden="false" customHeight="false" outlineLevel="0" collapsed="false">
      <c r="A15" s="2" t="s">
        <v>202</v>
      </c>
      <c r="B15" s="6" t="n">
        <v>71.1</v>
      </c>
      <c r="C15" s="16" t="n">
        <v>71.1</v>
      </c>
      <c r="D15" s="6" t="n">
        <v>219.5</v>
      </c>
      <c r="E15" s="17" t="n">
        <v>621.8349609375</v>
      </c>
      <c r="F15" s="17" t="n">
        <v>1082.43485569022</v>
      </c>
      <c r="G15" s="17" t="n">
        <v>2833.52001953125</v>
      </c>
      <c r="H15" s="17" t="n">
        <v>1573.70208300333</v>
      </c>
      <c r="I15" s="17" t="n">
        <v>1137.43679774495</v>
      </c>
      <c r="J15" s="17" t="n">
        <v>1524.893227867</v>
      </c>
      <c r="K15" s="17" t="n">
        <v>1936.40305198978</v>
      </c>
      <c r="L15" s="17" t="n">
        <v>1509.40553872991</v>
      </c>
      <c r="M15" s="17" t="n">
        <v>1790.92869267103</v>
      </c>
      <c r="N15" s="17" t="n">
        <v>2060.42022994966</v>
      </c>
      <c r="O15" s="17" t="n">
        <v>2407.77499015788</v>
      </c>
      <c r="P15" s="17" t="n">
        <v>1272.80309791471</v>
      </c>
      <c r="Q15" s="17" t="n">
        <v>1298.90155874988</v>
      </c>
      <c r="R15" s="17" t="n">
        <v>1328.2598860382</v>
      </c>
      <c r="S15" s="17" t="n">
        <v>1489.17169126139</v>
      </c>
      <c r="T15" s="17" t="n">
        <v>1264.77930636934</v>
      </c>
      <c r="U15" s="17" t="n">
        <v>2089.17352877784</v>
      </c>
      <c r="V15" s="2" t="s">
        <v>196</v>
      </c>
      <c r="W15" s="16" t="n">
        <v>10.5568344127987</v>
      </c>
    </row>
    <row r="16" customFormat="false" ht="15" hidden="false" customHeight="false" outlineLevel="0" collapsed="false">
      <c r="A16" s="2" t="s">
        <v>203</v>
      </c>
      <c r="B16" s="6" t="n">
        <v>24</v>
      </c>
      <c r="C16" s="16" t="n">
        <v>77.8</v>
      </c>
      <c r="D16" s="6" t="n">
        <v>189.5</v>
      </c>
      <c r="E16" s="17" t="n">
        <v>759.385009765625</v>
      </c>
      <c r="F16" s="17" t="n">
        <v>1017.79998779297</v>
      </c>
      <c r="G16" s="17" t="n">
        <v>2828.4140625</v>
      </c>
      <c r="H16" s="17" t="n">
        <v>1475.82737593652</v>
      </c>
      <c r="I16" s="17" t="n">
        <v>1863.2597294397</v>
      </c>
      <c r="J16" s="17" t="n">
        <v>2336.37748332707</v>
      </c>
      <c r="K16" s="17" t="n">
        <v>2902.91053957561</v>
      </c>
      <c r="L16" s="17" t="n">
        <v>2633.79806923487</v>
      </c>
      <c r="M16" s="17" t="n">
        <v>3117.37136667059</v>
      </c>
      <c r="N16" s="17" t="n">
        <v>3747.2173353178</v>
      </c>
      <c r="O16" s="17" t="n">
        <v>3028.14648083057</v>
      </c>
      <c r="P16" s="17" t="n">
        <v>2136.78695362719</v>
      </c>
      <c r="Q16" s="17" t="n">
        <v>2518.33964492903</v>
      </c>
      <c r="R16" s="17" t="n">
        <v>2774.29499763211</v>
      </c>
      <c r="S16" s="17" t="n">
        <v>3224.43487464248</v>
      </c>
      <c r="T16" s="17" t="n">
        <v>1886.37256387803</v>
      </c>
      <c r="U16" s="17" t="n">
        <v>4215.44478400845</v>
      </c>
      <c r="V16" s="2" t="s">
        <v>196</v>
      </c>
      <c r="W16" s="16" t="n">
        <v>4.2919514104252</v>
      </c>
    </row>
    <row r="17" customFormat="false" ht="15" hidden="false" customHeight="false" outlineLevel="0" collapsed="false">
      <c r="A17" s="2" t="s">
        <v>203</v>
      </c>
      <c r="B17" s="6" t="n">
        <v>72</v>
      </c>
      <c r="C17" s="16" t="n">
        <v>77.8</v>
      </c>
      <c r="D17" s="6" t="n">
        <v>189.5</v>
      </c>
      <c r="E17" s="17" t="n">
        <v>759.385009765625</v>
      </c>
      <c r="F17" s="17" t="n">
        <v>1114.09997558594</v>
      </c>
      <c r="G17" s="17" t="n">
        <v>2828.4140625</v>
      </c>
      <c r="H17" s="17" t="n">
        <v>1560.03008892883</v>
      </c>
      <c r="I17" s="17" t="n">
        <v>1828.01303327516</v>
      </c>
      <c r="J17" s="17" t="n">
        <v>2374.273618209</v>
      </c>
      <c r="K17" s="17" t="n">
        <v>2989.53312970999</v>
      </c>
      <c r="L17" s="17" t="n">
        <v>1938.58480133172</v>
      </c>
      <c r="M17" s="17" t="n">
        <v>2256.30208494251</v>
      </c>
      <c r="N17" s="17" t="n">
        <v>2736.35186518771</v>
      </c>
      <c r="O17" s="17" t="n">
        <v>2773.06099243861</v>
      </c>
      <c r="P17" s="17" t="n">
        <v>1348.88323358271</v>
      </c>
      <c r="Q17" s="17" t="n">
        <v>1378.89111871906</v>
      </c>
      <c r="R17" s="17" t="n">
        <v>1415.25988162693</v>
      </c>
      <c r="S17" s="17" t="n">
        <v>2372.47371024592</v>
      </c>
      <c r="T17" s="17" t="n">
        <v>1473.33928170119</v>
      </c>
      <c r="U17" s="17" t="n">
        <v>2480.27220745791</v>
      </c>
      <c r="V17" s="2" t="s">
        <v>196</v>
      </c>
      <c r="W17" s="16" t="n">
        <v>4.3777294843172</v>
      </c>
    </row>
    <row r="18" customFormat="false" ht="15" hidden="false" customHeight="false" outlineLevel="0" collapsed="false">
      <c r="A18" s="2" t="s">
        <v>204</v>
      </c>
      <c r="B18" s="6" t="n">
        <v>24</v>
      </c>
      <c r="C18" s="16" t="n">
        <v>59.8</v>
      </c>
      <c r="D18" s="6" t="n">
        <v>229.3</v>
      </c>
      <c r="E18" s="17" t="n">
        <v>611.945007324219</v>
      </c>
      <c r="F18" s="17" t="n">
        <v>935.159973144531</v>
      </c>
      <c r="G18" s="17" t="n">
        <v>2826.33227539063</v>
      </c>
      <c r="H18" s="17" t="n">
        <v>1299.52023738632</v>
      </c>
      <c r="I18" s="17" t="n">
        <v>1334.57054626996</v>
      </c>
      <c r="J18" s="17" t="n">
        <v>1757.48769813859</v>
      </c>
      <c r="K18" s="17" t="n">
        <v>2269.67110292756</v>
      </c>
      <c r="L18" s="17" t="n">
        <v>1809.11938915827</v>
      </c>
      <c r="M18" s="17" t="n">
        <v>2089.0336569556</v>
      </c>
      <c r="N18" s="17" t="n">
        <v>2453.47992509351</v>
      </c>
      <c r="O18" s="17" t="n">
        <v>3339.51751014202</v>
      </c>
      <c r="P18" s="17" t="n">
        <v>1347.80919022156</v>
      </c>
      <c r="Q18" s="17" t="n">
        <v>1462.53678003243</v>
      </c>
      <c r="R18" s="17" t="n">
        <v>1553.35289276185</v>
      </c>
      <c r="S18" s="17" t="n">
        <v>1780.40157898136</v>
      </c>
      <c r="T18" s="17" t="n">
        <v>1201.99863161277</v>
      </c>
      <c r="U18" s="17" t="n">
        <v>2666.81709472855</v>
      </c>
      <c r="V18" s="2" t="s">
        <v>196</v>
      </c>
      <c r="W18" s="16" t="n">
        <v>6.3594133126266</v>
      </c>
    </row>
    <row r="19" customFormat="false" ht="15" hidden="false" customHeight="false" outlineLevel="0" collapsed="false">
      <c r="A19" s="2" t="s">
        <v>204</v>
      </c>
      <c r="B19" s="6" t="n">
        <v>59.8</v>
      </c>
      <c r="C19" s="16" t="n">
        <v>59.8</v>
      </c>
      <c r="D19" s="6" t="n">
        <v>229.3</v>
      </c>
      <c r="E19" s="17" t="n">
        <v>611.945007324219</v>
      </c>
      <c r="F19" s="17" t="n">
        <v>1015.85286310896</v>
      </c>
      <c r="G19" s="17" t="n">
        <v>2826.33227539063</v>
      </c>
      <c r="H19" s="17" t="n">
        <v>1417.20238799864</v>
      </c>
      <c r="I19" s="17" t="n">
        <v>1319.63849078314</v>
      </c>
      <c r="J19" s="17" t="n">
        <v>1736.67574331102</v>
      </c>
      <c r="K19" s="17" t="n">
        <v>2311.0051862145</v>
      </c>
      <c r="L19" s="17" t="n">
        <v>1611.32448350706</v>
      </c>
      <c r="M19" s="17" t="n">
        <v>1836.13463803925</v>
      </c>
      <c r="N19" s="17" t="n">
        <v>2201.062656854</v>
      </c>
      <c r="O19" s="17" t="n">
        <v>2822.42837067119</v>
      </c>
      <c r="P19" s="17" t="n">
        <v>1232.53196488154</v>
      </c>
      <c r="Q19" s="17" t="n">
        <v>1282.38495336516</v>
      </c>
      <c r="R19" s="17" t="n">
        <v>1357.96568549017</v>
      </c>
      <c r="S19" s="17" t="n">
        <v>1655.8841424327</v>
      </c>
      <c r="T19" s="17" t="n">
        <v>1213.04711076027</v>
      </c>
      <c r="U19" s="17" t="n">
        <v>1971.29944341706</v>
      </c>
      <c r="V19" s="2" t="s">
        <v>196</v>
      </c>
      <c r="W19" s="16" t="n">
        <v>6.3581168499034</v>
      </c>
    </row>
    <row r="20" customFormat="false" ht="15" hidden="false" customHeight="false" outlineLevel="0" collapsed="false">
      <c r="A20" s="2" t="s">
        <v>205</v>
      </c>
      <c r="B20" s="6" t="n">
        <v>24</v>
      </c>
      <c r="C20" s="16" t="n">
        <v>69.9</v>
      </c>
      <c r="D20" s="6" t="n">
        <v>221.6</v>
      </c>
      <c r="E20" s="17" t="n">
        <v>726.192504882813</v>
      </c>
      <c r="F20" s="17" t="n">
        <v>934.489990234375</v>
      </c>
      <c r="G20" s="17" t="n">
        <v>2826.66455078125</v>
      </c>
      <c r="H20" s="17" t="n">
        <v>1282.90325726061</v>
      </c>
      <c r="I20" s="17" t="n">
        <v>1465.1139646607</v>
      </c>
      <c r="J20" s="17" t="n">
        <v>1886.05124349515</v>
      </c>
      <c r="K20" s="17" t="n">
        <v>2421.13865588275</v>
      </c>
      <c r="L20" s="17" t="n">
        <v>1895.91222727777</v>
      </c>
      <c r="M20" s="17" t="n">
        <v>2154.90319124443</v>
      </c>
      <c r="N20" s="17" t="n">
        <v>2565.42241294675</v>
      </c>
      <c r="O20" s="17" t="n">
        <v>2445.01623496165</v>
      </c>
      <c r="P20" s="17" t="n">
        <v>1269.15001822566</v>
      </c>
      <c r="Q20" s="17" t="n">
        <v>1300.97045128627</v>
      </c>
      <c r="R20" s="17" t="n">
        <v>1331.73610959317</v>
      </c>
      <c r="S20" s="17" t="n">
        <v>2141.27041549563</v>
      </c>
      <c r="T20" s="17" t="n">
        <v>1221.23749980676</v>
      </c>
      <c r="U20" s="17" t="n">
        <v>2892.516337014</v>
      </c>
      <c r="V20" s="2" t="s">
        <v>196</v>
      </c>
      <c r="W20" s="16" t="n">
        <v>5.8577664915336</v>
      </c>
    </row>
    <row r="21" customFormat="false" ht="15" hidden="false" customHeight="false" outlineLevel="0" collapsed="false">
      <c r="A21" s="2" t="s">
        <v>205</v>
      </c>
      <c r="B21" s="6" t="n">
        <v>69.9</v>
      </c>
      <c r="C21" s="16" t="n">
        <v>69.9</v>
      </c>
      <c r="D21" s="6" t="n">
        <v>221.6</v>
      </c>
      <c r="E21" s="17" t="n">
        <v>726.192504882813</v>
      </c>
      <c r="F21" s="17" t="n">
        <v>1000.88258751147</v>
      </c>
      <c r="G21" s="17" t="n">
        <v>2826.66455078125</v>
      </c>
      <c r="H21" s="17" t="n">
        <v>1272.05083837706</v>
      </c>
      <c r="I21" s="17" t="n">
        <v>1454.3452046385</v>
      </c>
      <c r="J21" s="17" t="n">
        <v>1854.65657503046</v>
      </c>
      <c r="K21" s="17" t="n">
        <v>2410.82216909003</v>
      </c>
      <c r="L21" s="17" t="n">
        <v>1410.41496557694</v>
      </c>
      <c r="M21" s="17" t="n">
        <v>1558.9509830882</v>
      </c>
      <c r="N21" s="17" t="n">
        <v>1780.10100241264</v>
      </c>
      <c r="O21" s="17" t="n">
        <v>2134.57238350319</v>
      </c>
      <c r="P21" s="17" t="n">
        <v>1302.20131376873</v>
      </c>
      <c r="Q21" s="17" t="n">
        <v>1480.96226776647</v>
      </c>
      <c r="R21" s="17" t="n">
        <v>1622.65086829759</v>
      </c>
      <c r="S21" s="17" t="n">
        <v>1933.70927036328</v>
      </c>
      <c r="T21" s="17" t="n">
        <v>1173.66619172901</v>
      </c>
      <c r="U21" s="17" t="n">
        <v>2216.99733015766</v>
      </c>
      <c r="V21" s="2" t="s">
        <v>196</v>
      </c>
      <c r="W21" s="16" t="n">
        <v>5.9955015613248</v>
      </c>
    </row>
    <row r="22" customFormat="false" ht="15" hidden="false" customHeight="false" outlineLevel="0" collapsed="false">
      <c r="A22" s="2" t="s">
        <v>206</v>
      </c>
      <c r="B22" s="6" t="n">
        <v>24</v>
      </c>
      <c r="C22" s="16" t="n">
        <v>84.2</v>
      </c>
      <c r="D22" s="6" t="n">
        <v>222.4</v>
      </c>
      <c r="E22" s="17" t="n">
        <v>677.64501953125</v>
      </c>
      <c r="F22" s="17" t="n">
        <v>998.609985351562</v>
      </c>
      <c r="G22" s="17" t="n">
        <v>2826.39111328125</v>
      </c>
      <c r="H22" s="17" t="n">
        <v>1367.72976578705</v>
      </c>
      <c r="I22" s="17" t="n">
        <v>1297.94573774784</v>
      </c>
      <c r="J22" s="17" t="n">
        <v>1662.65433035946</v>
      </c>
      <c r="K22" s="17" t="n">
        <v>2200.13299913195</v>
      </c>
      <c r="L22" s="17" t="n">
        <v>1764.00895422537</v>
      </c>
      <c r="M22" s="17" t="n">
        <v>2044.25584802863</v>
      </c>
      <c r="N22" s="17" t="n">
        <v>2453.23808634211</v>
      </c>
      <c r="O22" s="17" t="n">
        <v>3170.40526355513</v>
      </c>
      <c r="P22" s="17" t="n">
        <v>1330.4529036126</v>
      </c>
      <c r="Q22" s="17" t="n">
        <v>1376.46883550182</v>
      </c>
      <c r="R22" s="17" t="n">
        <v>1437.88004378344</v>
      </c>
      <c r="S22" s="17" t="n">
        <v>1476.84515723436</v>
      </c>
      <c r="T22" s="17" t="n">
        <v>1192.67900317866</v>
      </c>
      <c r="U22" s="17" t="n">
        <v>2260.80197398009</v>
      </c>
      <c r="V22" s="2" t="s">
        <v>196</v>
      </c>
      <c r="W22" s="16" t="n">
        <v>7.5330881516631</v>
      </c>
    </row>
    <row r="23" customFormat="false" ht="15" hidden="false" customHeight="false" outlineLevel="0" collapsed="false">
      <c r="A23" s="2" t="s">
        <v>206</v>
      </c>
      <c r="B23" s="6" t="n">
        <v>72</v>
      </c>
      <c r="C23" s="16" t="n">
        <v>84.2</v>
      </c>
      <c r="D23" s="6" t="n">
        <v>222.4</v>
      </c>
      <c r="E23" s="17" t="n">
        <v>677.64501953125</v>
      </c>
      <c r="F23" s="17" t="n">
        <v>1108.59997558594</v>
      </c>
      <c r="G23" s="17" t="n">
        <v>2826.39111328125</v>
      </c>
      <c r="H23" s="17" t="n">
        <v>1519.40303024225</v>
      </c>
      <c r="I23" s="17" t="n">
        <v>1308.13532226806</v>
      </c>
      <c r="J23" s="17" t="n">
        <v>1663.31855764243</v>
      </c>
      <c r="K23" s="17" t="n">
        <v>2188.21225089685</v>
      </c>
      <c r="L23" s="17" t="n">
        <v>1535.7591181018</v>
      </c>
      <c r="M23" s="17" t="n">
        <v>1736.09557196057</v>
      </c>
      <c r="N23" s="17" t="n">
        <v>2033.69652435719</v>
      </c>
      <c r="O23" s="17" t="n">
        <v>2577.04460651971</v>
      </c>
      <c r="P23" s="17" t="n">
        <v>1431.78613155156</v>
      </c>
      <c r="Q23" s="17" t="n">
        <v>1541.26085327286</v>
      </c>
      <c r="R23" s="17" t="n">
        <v>1626.71005038402</v>
      </c>
      <c r="S23" s="17" t="n">
        <v>1732.16095878695</v>
      </c>
      <c r="T23" s="17" t="n">
        <v>1304.98076153605</v>
      </c>
      <c r="U23" s="17" t="n">
        <v>2225.10288014226</v>
      </c>
      <c r="V23" s="2" t="s">
        <v>196</v>
      </c>
      <c r="W23" s="16" t="n">
        <v>7.5662605101817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6" min="4" style="0" width="22"/>
  </cols>
  <sheetData>
    <row r="1" customFormat="false" ht="16.15" hidden="false" customHeight="false" outlineLevel="0" collapsed="false">
      <c r="A1" s="4" t="s">
        <v>207</v>
      </c>
    </row>
    <row r="2" customFormat="false" ht="15" hidden="false" customHeight="false" outlineLevel="0" collapsed="false">
      <c r="A2" s="15" t="s">
        <v>208</v>
      </c>
    </row>
    <row r="3" customFormat="false" ht="25.35" hidden="false" customHeight="false" outlineLevel="0" collapsed="false">
      <c r="A3" s="5" t="s">
        <v>209</v>
      </c>
      <c r="B3" s="5" t="s">
        <v>210</v>
      </c>
      <c r="C3" s="5" t="s">
        <v>211</v>
      </c>
      <c r="D3" s="5" t="s">
        <v>212</v>
      </c>
      <c r="E3" s="5" t="s">
        <v>213</v>
      </c>
      <c r="F3" s="5" t="s">
        <v>214</v>
      </c>
    </row>
    <row r="4" customFormat="false" ht="15" hidden="false" customHeight="false" outlineLevel="0" collapsed="false">
      <c r="A4" s="2" t="s">
        <v>215</v>
      </c>
      <c r="B4" s="6" t="n">
        <v>31</v>
      </c>
      <c r="C4" s="17" t="n">
        <v>7512.03225806452</v>
      </c>
      <c r="D4" s="17" t="n">
        <v>5103.93941638647</v>
      </c>
      <c r="E4" s="17" t="n">
        <v>5546.39348440229</v>
      </c>
      <c r="F4" s="17" t="n">
        <v>5907.55267918252</v>
      </c>
    </row>
    <row r="5" customFormat="false" ht="15" hidden="false" customHeight="false" outlineLevel="0" collapsed="false">
      <c r="A5" s="2" t="s">
        <v>216</v>
      </c>
      <c r="B5" s="6" t="n">
        <v>29</v>
      </c>
      <c r="C5" s="17" t="n">
        <v>7614.8275862069</v>
      </c>
      <c r="D5" s="17" t="n">
        <v>5276.5769989945</v>
      </c>
      <c r="E5" s="17" t="n">
        <v>5761.5547464416</v>
      </c>
      <c r="F5" s="17" t="n">
        <v>6145.94301181814</v>
      </c>
    </row>
    <row r="6" customFormat="false" ht="15" hidden="false" customHeight="false" outlineLevel="0" collapsed="false">
      <c r="A6" s="2" t="s">
        <v>217</v>
      </c>
      <c r="B6" s="6" t="n">
        <v>31</v>
      </c>
      <c r="C6" s="17" t="n">
        <v>5952.12903225806</v>
      </c>
      <c r="D6" s="17" t="n">
        <v>3677.37976459939</v>
      </c>
      <c r="E6" s="17" t="n">
        <v>4198.15029343727</v>
      </c>
      <c r="F6" s="17" t="n">
        <v>4599.69803690627</v>
      </c>
    </row>
    <row r="7" customFormat="false" ht="15" hidden="false" customHeight="false" outlineLevel="0" collapsed="false">
      <c r="A7" s="2" t="s">
        <v>218</v>
      </c>
      <c r="B7" s="6" t="n">
        <v>30</v>
      </c>
      <c r="C7" s="17" t="n">
        <v>4863.73333333333</v>
      </c>
      <c r="D7" s="17" t="n">
        <v>2654.95893775918</v>
      </c>
      <c r="E7" s="17" t="n">
        <v>3210.02096169238</v>
      </c>
      <c r="F7" s="17" t="n">
        <v>3625.59664830196</v>
      </c>
    </row>
    <row r="8" customFormat="false" ht="15" hidden="false" customHeight="false" outlineLevel="0" collapsed="false">
      <c r="A8" s="2" t="s">
        <v>219</v>
      </c>
      <c r="B8" s="6" t="n">
        <v>31</v>
      </c>
      <c r="C8" s="17" t="n">
        <v>4330.90322580645</v>
      </c>
      <c r="D8" s="17" t="n">
        <v>2184.15302178887</v>
      </c>
      <c r="E8" s="17" t="n">
        <v>2768.76204038313</v>
      </c>
      <c r="F8" s="17" t="n">
        <v>3194.1686962702</v>
      </c>
    </row>
    <row r="9" customFormat="false" ht="15" hidden="false" customHeight="false" outlineLevel="0" collapsed="false">
      <c r="A9" s="2" t="s">
        <v>220</v>
      </c>
      <c r="B9" s="6" t="n">
        <v>30</v>
      </c>
      <c r="C9" s="17" t="n">
        <v>4499.5</v>
      </c>
      <c r="D9" s="17" t="n">
        <v>2415.01229326999</v>
      </c>
      <c r="E9" s="17" t="n">
        <v>3026.65876914153</v>
      </c>
      <c r="F9" s="17" t="n">
        <v>3458.83121394145</v>
      </c>
    </row>
    <row r="10" customFormat="false" ht="15" hidden="false" customHeight="false" outlineLevel="0" collapsed="false">
      <c r="A10" s="2" t="s">
        <v>221</v>
      </c>
      <c r="B10" s="6" t="n">
        <v>31</v>
      </c>
      <c r="C10" s="17" t="n">
        <v>4156.12903225806</v>
      </c>
      <c r="D10" s="17" t="n">
        <v>2130.17544520936</v>
      </c>
      <c r="E10" s="17" t="n">
        <v>2764.84359122906</v>
      </c>
      <c r="F10" s="17" t="n">
        <v>3200.68997837577</v>
      </c>
    </row>
    <row r="11" customFormat="false" ht="15" hidden="false" customHeight="false" outlineLevel="0" collapsed="false">
      <c r="A11" s="2" t="s">
        <v>222</v>
      </c>
      <c r="B11" s="6" t="n">
        <v>31</v>
      </c>
      <c r="C11" s="17" t="n">
        <v>3671.70967741935</v>
      </c>
      <c r="D11" s="17" t="n">
        <v>1704.51510643236</v>
      </c>
      <c r="E11" s="17" t="n">
        <v>2359.95720551629</v>
      </c>
      <c r="F11" s="17" t="n">
        <v>2797.01503718329</v>
      </c>
    </row>
    <row r="12" customFormat="false" ht="15" hidden="false" customHeight="false" outlineLevel="0" collapsed="false">
      <c r="A12" s="2" t="s">
        <v>223</v>
      </c>
      <c r="B12" s="6" t="n">
        <v>30</v>
      </c>
      <c r="C12" s="17" t="n">
        <v>3392.4</v>
      </c>
      <c r="D12" s="17" t="n">
        <v>1482.26024908987</v>
      </c>
      <c r="E12" s="17" t="n">
        <v>2155.63398721748</v>
      </c>
      <c r="F12" s="17" t="n">
        <v>2591.62604110764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2026-10-25T07:37:12Z</dcterms:created>
  <dc:creator>openpyxl</dc:creator>
  <dc:description/>
  <dc:language>en-US</dc:language>
  <cp:lastModifiedBy/>
  <dcterms:modified xsi:type="dcterms:W3CDTF">2026-10-25T07:37:12Z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