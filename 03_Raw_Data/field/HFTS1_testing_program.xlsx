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Gas Technology Institute Testing Program\Sugg A 171 South Wells\Testing Diagrams\"/>
    </mc:Choice>
  </mc:AlternateContent>
  <bookViews>
    <workbookView xWindow="480" yWindow="420" windowWidth="14880" windowHeight="7725"/>
  </bookViews>
  <sheets>
    <sheet name="Tier 1" sheetId="1" r:id="rId1"/>
  </sheets>
  <definedNames>
    <definedName name="_xlnm.Print_Area" localSheetId="0">'Tier 1'!$B$2:$AS$73</definedName>
  </definedNames>
  <calcPr calcId="162913"/>
</workbook>
</file>

<file path=xl/calcChain.xml><?xml version="1.0" encoding="utf-8"?>
<calcChain xmlns="http://schemas.openxmlformats.org/spreadsheetml/2006/main">
  <c r="O48" i="1" l="1"/>
  <c r="O47" i="1" s="1"/>
  <c r="O46" i="1" s="1"/>
  <c r="O45" i="1" s="1"/>
  <c r="O44" i="1" s="1"/>
  <c r="O43" i="1" s="1"/>
  <c r="O42" i="1" s="1"/>
  <c r="O41" i="1" s="1"/>
  <c r="O40" i="1" s="1"/>
  <c r="O39" i="1" s="1"/>
  <c r="O38" i="1" s="1"/>
  <c r="O37" i="1" s="1"/>
  <c r="O36" i="1" s="1"/>
  <c r="O35" i="1" s="1"/>
  <c r="O34" i="1" s="1"/>
  <c r="O33" i="1" s="1"/>
  <c r="O32" i="1" s="1"/>
  <c r="O31" i="1" s="1"/>
  <c r="O30" i="1" s="1"/>
  <c r="O29" i="1" s="1"/>
  <c r="O28" i="1" s="1"/>
  <c r="O27" i="1" s="1"/>
  <c r="O26" i="1" s="1"/>
  <c r="O25" i="1" s="1"/>
  <c r="O24" i="1" s="1"/>
  <c r="O23" i="1" s="1"/>
  <c r="O22" i="1" s="1"/>
  <c r="O21" i="1" s="1"/>
  <c r="O20" i="1" s="1"/>
  <c r="O19" i="1" s="1"/>
  <c r="O18" i="1" s="1"/>
  <c r="O17" i="1" s="1"/>
  <c r="O16" i="1" s="1"/>
  <c r="I48" i="1"/>
  <c r="I47" i="1" s="1"/>
  <c r="I46" i="1" s="1"/>
  <c r="I45" i="1" s="1"/>
  <c r="I44" i="1" s="1"/>
  <c r="I43" i="1" s="1"/>
  <c r="I42" i="1" s="1"/>
  <c r="I41" i="1" s="1"/>
  <c r="I40" i="1" s="1"/>
  <c r="I39" i="1" s="1"/>
  <c r="I38" i="1" s="1"/>
  <c r="I37" i="1" s="1"/>
  <c r="I36" i="1" s="1"/>
  <c r="I35" i="1" s="1"/>
  <c r="I34" i="1" s="1"/>
  <c r="I33" i="1" s="1"/>
  <c r="I32" i="1" s="1"/>
  <c r="I31" i="1" s="1"/>
  <c r="I30" i="1" s="1"/>
  <c r="I29" i="1" s="1"/>
  <c r="I28" i="1" s="1"/>
  <c r="I27" i="1" s="1"/>
  <c r="I26" i="1" s="1"/>
  <c r="I25" i="1" s="1"/>
  <c r="I24" i="1" s="1"/>
  <c r="I23" i="1" s="1"/>
  <c r="I22" i="1" s="1"/>
  <c r="I21" i="1" s="1"/>
  <c r="I20" i="1" s="1"/>
  <c r="I19" i="1" s="1"/>
  <c r="I18" i="1" s="1"/>
  <c r="I17" i="1" s="1"/>
  <c r="I16" i="1" s="1"/>
  <c r="I15" i="1" s="1"/>
  <c r="I14" i="1" s="1"/>
  <c r="I13" i="1" s="1"/>
  <c r="U48" i="1"/>
  <c r="U47" i="1" s="1"/>
  <c r="U46" i="1" s="1"/>
  <c r="U45" i="1" s="1"/>
  <c r="U44" i="1" s="1"/>
  <c r="U43" i="1" s="1"/>
  <c r="U42" i="1" s="1"/>
  <c r="U41" i="1" s="1"/>
  <c r="U40" i="1" s="1"/>
  <c r="U39" i="1" s="1"/>
  <c r="U38" i="1" s="1"/>
  <c r="U37" i="1" s="1"/>
  <c r="U36" i="1" s="1"/>
  <c r="U35" i="1" s="1"/>
  <c r="U34" i="1" s="1"/>
  <c r="U33" i="1" s="1"/>
  <c r="U32" i="1" s="1"/>
  <c r="U31" i="1" s="1"/>
  <c r="U30" i="1" s="1"/>
  <c r="U29" i="1" s="1"/>
  <c r="U28" i="1" s="1"/>
  <c r="U27" i="1" s="1"/>
  <c r="U26" i="1" s="1"/>
  <c r="U25" i="1" s="1"/>
  <c r="U24" i="1" s="1"/>
  <c r="U23" i="1" s="1"/>
  <c r="U22" i="1" s="1"/>
  <c r="U21" i="1" s="1"/>
  <c r="U20" i="1" s="1"/>
  <c r="U19" i="1" s="1"/>
  <c r="U16" i="1" l="1"/>
  <c r="U15" i="1" s="1"/>
  <c r="U14" i="1" s="1"/>
  <c r="U13" i="1" s="1"/>
  <c r="X48" i="1"/>
  <c r="R48" i="1" l="1"/>
  <c r="R47" i="1" s="1"/>
  <c r="R46" i="1" s="1"/>
  <c r="R45" i="1" s="1"/>
  <c r="R44" i="1" s="1"/>
  <c r="R43" i="1" s="1"/>
  <c r="R42" i="1" s="1"/>
  <c r="R41" i="1" s="1"/>
  <c r="R40" i="1" s="1"/>
  <c r="R39" i="1" s="1"/>
  <c r="R38" i="1" s="1"/>
  <c r="R37" i="1" s="1"/>
  <c r="R36" i="1" s="1"/>
  <c r="R35" i="1" s="1"/>
  <c r="R34" i="1" s="1"/>
  <c r="R33" i="1" s="1"/>
  <c r="R32" i="1" s="1"/>
  <c r="R31" i="1" s="1"/>
  <c r="R30" i="1" s="1"/>
  <c r="R29" i="1" s="1"/>
  <c r="R28" i="1" s="1"/>
  <c r="R27" i="1" s="1"/>
  <c r="R26" i="1" s="1"/>
  <c r="R25" i="1" s="1"/>
  <c r="R24" i="1" s="1"/>
  <c r="R23" i="1" s="1"/>
  <c r="R22" i="1" s="1"/>
  <c r="R21" i="1" s="1"/>
  <c r="R20" i="1" s="1"/>
  <c r="R19" i="1" s="1"/>
  <c r="R18" i="1" s="1"/>
  <c r="R17" i="1" s="1"/>
  <c r="R16" i="1" s="1"/>
  <c r="X47" i="1"/>
  <c r="X46" i="1" s="1"/>
  <c r="X45" i="1" s="1"/>
  <c r="X44" i="1" s="1"/>
  <c r="X43" i="1" s="1"/>
  <c r="X42" i="1" s="1"/>
  <c r="X41" i="1" s="1"/>
  <c r="X40" i="1" s="1"/>
  <c r="X39" i="1" s="1"/>
  <c r="X38" i="1" s="1"/>
  <c r="X37" i="1" s="1"/>
  <c r="X36" i="1" s="1"/>
  <c r="X35" i="1" s="1"/>
  <c r="X34" i="1" s="1"/>
  <c r="X33" i="1" s="1"/>
  <c r="X32" i="1" s="1"/>
  <c r="X31" i="1" s="1"/>
  <c r="X30" i="1" s="1"/>
  <c r="X29" i="1" s="1"/>
  <c r="X28" i="1" s="1"/>
  <c r="X27" i="1" s="1"/>
  <c r="X26" i="1" s="1"/>
  <c r="X25" i="1" s="1"/>
  <c r="X24" i="1" s="1"/>
  <c r="X23" i="1" s="1"/>
  <c r="X22" i="1" s="1"/>
  <c r="X21" i="1" s="1"/>
  <c r="X20" i="1" s="1"/>
  <c r="X19" i="1" s="1"/>
  <c r="X18" i="1" s="1"/>
  <c r="X17" i="1" s="1"/>
  <c r="X16" i="1" s="1"/>
  <c r="AD47" i="1"/>
  <c r="AD46" i="1" s="1"/>
  <c r="AD45" i="1" s="1"/>
  <c r="AD44" i="1" s="1"/>
  <c r="AD43" i="1" s="1"/>
  <c r="AD42" i="1" s="1"/>
  <c r="AD41" i="1" s="1"/>
  <c r="AD40" i="1" s="1"/>
  <c r="AD39" i="1" s="1"/>
  <c r="AD38" i="1" s="1"/>
  <c r="AD37" i="1" s="1"/>
  <c r="AD36" i="1" s="1"/>
  <c r="AD35" i="1" s="1"/>
  <c r="AD34" i="1" s="1"/>
  <c r="AD33" i="1" s="1"/>
  <c r="AD32" i="1" s="1"/>
  <c r="AD31" i="1" s="1"/>
  <c r="AD30" i="1" s="1"/>
  <c r="AD29" i="1" s="1"/>
  <c r="AD28" i="1" s="1"/>
  <c r="AD27" i="1" s="1"/>
  <c r="AD26" i="1" s="1"/>
  <c r="AD25" i="1" s="1"/>
  <c r="AD24" i="1" s="1"/>
  <c r="AD23" i="1" s="1"/>
  <c r="AD22" i="1" s="1"/>
  <c r="AD21" i="1" s="1"/>
  <c r="AD20" i="1" s="1"/>
  <c r="AD19" i="1" s="1"/>
  <c r="L47" i="1"/>
  <c r="L46" i="1" s="1"/>
  <c r="L45" i="1" s="1"/>
  <c r="L44" i="1" s="1"/>
  <c r="L43" i="1" s="1"/>
  <c r="L42" i="1" s="1"/>
  <c r="L41" i="1" s="1"/>
  <c r="L40" i="1" s="1"/>
  <c r="L39" i="1" s="1"/>
  <c r="L38" i="1" s="1"/>
  <c r="L37" i="1" s="1"/>
  <c r="L36" i="1" s="1"/>
  <c r="L35" i="1" s="1"/>
  <c r="L34" i="1" s="1"/>
  <c r="L33" i="1" s="1"/>
  <c r="L32" i="1" s="1"/>
  <c r="L31" i="1" s="1"/>
  <c r="L30" i="1" s="1"/>
  <c r="L29" i="1" s="1"/>
  <c r="L28" i="1" s="1"/>
  <c r="L27" i="1" s="1"/>
  <c r="L26" i="1" s="1"/>
  <c r="L25" i="1" s="1"/>
  <c r="L24" i="1" s="1"/>
  <c r="L23" i="1" s="1"/>
  <c r="L22" i="1" s="1"/>
  <c r="L21" i="1" s="1"/>
  <c r="L20" i="1" s="1"/>
  <c r="L19" i="1" s="1"/>
  <c r="L16" i="1" s="1"/>
  <c r="L15" i="1" s="1"/>
  <c r="L14" i="1" s="1"/>
  <c r="L13" i="1" s="1"/>
  <c r="F43" i="1"/>
  <c r="F42" i="1" s="1"/>
  <c r="F41" i="1" s="1"/>
  <c r="F40" i="1" s="1"/>
  <c r="F39" i="1" s="1"/>
  <c r="F38" i="1" s="1"/>
  <c r="F37" i="1" s="1"/>
  <c r="F36" i="1" s="1"/>
  <c r="F35" i="1" s="1"/>
  <c r="F34" i="1" s="1"/>
  <c r="F33" i="1" s="1"/>
  <c r="F32" i="1" s="1"/>
  <c r="F31" i="1" s="1"/>
  <c r="F30" i="1" s="1"/>
  <c r="F29" i="1" s="1"/>
  <c r="F28" i="1" s="1"/>
  <c r="F27" i="1" s="1"/>
  <c r="F26" i="1" s="1"/>
  <c r="F25" i="1" s="1"/>
  <c r="F24" i="1" s="1"/>
  <c r="F23" i="1" s="1"/>
  <c r="F22" i="1" s="1"/>
  <c r="F21" i="1" s="1"/>
  <c r="F20" i="1" s="1"/>
  <c r="F19" i="1" s="1"/>
  <c r="F18" i="1" s="1"/>
  <c r="F17" i="1" s="1"/>
  <c r="F16" i="1" s="1"/>
  <c r="F15" i="1" s="1"/>
  <c r="F14" i="1" s="1"/>
  <c r="F13" i="1" s="1"/>
  <c r="AJ43" i="1"/>
  <c r="AJ42" i="1" s="1"/>
  <c r="AJ41" i="1" s="1"/>
  <c r="AJ40" i="1" s="1"/>
  <c r="AJ39" i="1" s="1"/>
  <c r="AJ38" i="1" s="1"/>
  <c r="AJ37" i="1" s="1"/>
  <c r="AJ36" i="1" s="1"/>
  <c r="AJ35" i="1" s="1"/>
  <c r="AJ34" i="1" s="1"/>
  <c r="AJ33" i="1" s="1"/>
  <c r="AJ32" i="1" s="1"/>
  <c r="AJ31" i="1" s="1"/>
  <c r="AJ30" i="1" s="1"/>
  <c r="AJ29" i="1" s="1"/>
  <c r="AJ28" i="1" s="1"/>
  <c r="AJ27" i="1" s="1"/>
  <c r="AJ26" i="1" s="1"/>
  <c r="AJ25" i="1" s="1"/>
  <c r="AJ24" i="1" s="1"/>
  <c r="AJ23" i="1" s="1"/>
  <c r="AJ22" i="1" s="1"/>
  <c r="AJ21" i="1" s="1"/>
  <c r="AJ20" i="1" s="1"/>
  <c r="AJ19" i="1" s="1"/>
  <c r="AJ18" i="1" s="1"/>
  <c r="AJ17" i="1" s="1"/>
  <c r="AJ16" i="1" s="1"/>
  <c r="AJ15" i="1" s="1"/>
  <c r="AJ14" i="1" s="1"/>
  <c r="AJ13" i="1" s="1"/>
  <c r="D48" i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AD18" i="1" l="1"/>
  <c r="AD17" i="1" s="1"/>
  <c r="AD16" i="1" s="1"/>
  <c r="AD15" i="1" s="1"/>
  <c r="AD14" i="1" s="1"/>
  <c r="AD13" i="1" s="1"/>
</calcChain>
</file>

<file path=xl/sharedStrings.xml><?xml version="1.0" encoding="utf-8"?>
<sst xmlns="http://schemas.openxmlformats.org/spreadsheetml/2006/main" count="162" uniqueCount="61">
  <si>
    <t>Sugg A 171 8SM</t>
  </si>
  <si>
    <t>Sugg A 171 8SU</t>
  </si>
  <si>
    <t>Sugg A 171 7SU</t>
  </si>
  <si>
    <t>Sugg A 171 6SU</t>
  </si>
  <si>
    <t>Sugg A 171 6SM</t>
  </si>
  <si>
    <t>Sugg A 171 5SU</t>
  </si>
  <si>
    <t>Sugg A 171 5SM</t>
  </si>
  <si>
    <t>Sugg A 171 4SU</t>
  </si>
  <si>
    <t>Sugg A 171 4SM</t>
  </si>
  <si>
    <t>Sugg A 171 3SU</t>
  </si>
  <si>
    <t>Stage #</t>
  </si>
  <si>
    <t>1st Pad</t>
  </si>
  <si>
    <t>2nd Pad</t>
  </si>
  <si>
    <t>3rd Pad</t>
  </si>
  <si>
    <t>4th Pad</t>
  </si>
  <si>
    <t>5th Pad</t>
  </si>
  <si>
    <t>Pad Order Legend</t>
  </si>
  <si>
    <t>Oil Tracers</t>
  </si>
  <si>
    <t>RA Tracers</t>
  </si>
  <si>
    <t>Log RA</t>
  </si>
  <si>
    <t>Crew #1b</t>
  </si>
  <si>
    <t>Crew #1a</t>
  </si>
  <si>
    <t>SageRider</t>
  </si>
  <si>
    <t>Memory</t>
  </si>
  <si>
    <t>Pressure Gauges:</t>
  </si>
  <si>
    <t>Water Tracers</t>
  </si>
  <si>
    <t>Sugg A 171 7RM</t>
  </si>
  <si>
    <t>DFIT</t>
  </si>
  <si>
    <t>Core Well</t>
  </si>
  <si>
    <t xml:space="preserve">      </t>
  </si>
  <si>
    <t xml:space="preserve">QC/OMBI Logs </t>
  </si>
  <si>
    <t>Re-fracs</t>
  </si>
  <si>
    <t>Vert Monitor Well</t>
  </si>
  <si>
    <t>CrossWell Seismic</t>
  </si>
  <si>
    <t>Frac-Rate Changes</t>
  </si>
  <si>
    <t>Sugg A 158 1SU &amp; 1SM Stack</t>
  </si>
  <si>
    <t>Surface Monitoring</t>
  </si>
  <si>
    <t>DFIT and</t>
  </si>
  <si>
    <t>Sugg A 171 1HU &amp; 2SM Stack</t>
  </si>
  <si>
    <t xml:space="preserve"> </t>
  </si>
  <si>
    <t>Fiber Coil</t>
  </si>
  <si>
    <t>Crew #2 (delayed 1.5 days)</t>
  </si>
  <si>
    <t>SDT</t>
  </si>
  <si>
    <t>5 clusters</t>
  </si>
  <si>
    <t>1,400 lbs/ft</t>
  </si>
  <si>
    <t>53' spacing</t>
  </si>
  <si>
    <t>Frac Design:</t>
  </si>
  <si>
    <t>1,800 lbs/ft</t>
  </si>
  <si>
    <t>3 clusters</t>
  </si>
  <si>
    <t>90' spacing</t>
  </si>
  <si>
    <t>1,100 lbs/ft</t>
  </si>
  <si>
    <t>1-18 Frac Design:</t>
  </si>
  <si>
    <t>19-27 Frac Design:</t>
  </si>
  <si>
    <t>28-43 Frac Design:</t>
  </si>
  <si>
    <t>1-12 Frac Design:</t>
  </si>
  <si>
    <t>1-9 Frac Design:</t>
  </si>
  <si>
    <t>10-24 Frac Design:</t>
  </si>
  <si>
    <t>25-33 Frac Design:</t>
  </si>
  <si>
    <t>34-49 Frac Design:</t>
  </si>
  <si>
    <t>13-34 Frac Design:</t>
  </si>
  <si>
    <t>35-46 Frac Design: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</si>
</sst>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/>
      <top style="thick">
        <color auto="1"/>
      </top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Border="1"/>
    <xf numFmtId="0" fontId="0" fillId="2" borderId="2" xfId="0" applyFill="1" applyBorder="1"/>
    <xf numFmtId="0" fontId="0" fillId="3" borderId="2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/>
    <xf numFmtId="0" fontId="0" fillId="0" borderId="0" xfId="0" applyAlignment="1"/>
    <xf numFmtId="0" fontId="0" fillId="0" borderId="3" xfId="0" applyBorder="1"/>
    <xf numFmtId="0" fontId="0" fillId="0" borderId="3" xfId="0" applyBorder="1" applyAlignment="1"/>
    <xf numFmtId="0" fontId="0" fillId="6" borderId="1" xfId="0" applyFill="1" applyBorder="1" applyAlignment="1">
      <alignment horizontal="center"/>
    </xf>
    <xf numFmtId="0" fontId="0" fillId="6" borderId="2" xfId="0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8" xfId="0" applyFill="1" applyBorder="1"/>
    <xf numFmtId="0" fontId="0" fillId="5" borderId="8" xfId="0" applyFill="1" applyBorder="1"/>
    <xf numFmtId="0" fontId="0" fillId="0" borderId="10" xfId="0" applyBorder="1"/>
    <xf numFmtId="0" fontId="0" fillId="0" borderId="11" xfId="0" applyBorder="1"/>
    <xf numFmtId="0" fontId="0" fillId="4" borderId="8" xfId="0" applyFill="1" applyBorder="1"/>
    <xf numFmtId="0" fontId="0" fillId="6" borderId="9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3" fillId="0" borderId="0" xfId="0" applyFont="1"/>
    <xf numFmtId="0" fontId="4" fillId="0" borderId="0" xfId="0" applyFont="1"/>
    <xf numFmtId="0" fontId="0" fillId="0" borderId="0" xfId="0" applyBorder="1" applyAlignment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9" borderId="0" xfId="0" applyFill="1" applyBorder="1"/>
    <xf numFmtId="0" fontId="0" fillId="8" borderId="19" xfId="0" applyFill="1" applyBorder="1"/>
    <xf numFmtId="0" fontId="0" fillId="8" borderId="18" xfId="0" applyFill="1" applyBorder="1"/>
    <xf numFmtId="0" fontId="0" fillId="8" borderId="19" xfId="0" applyFill="1" applyBorder="1" applyAlignment="1"/>
    <xf numFmtId="0" fontId="0" fillId="8" borderId="18" xfId="0" applyFill="1" applyBorder="1" applyAlignment="1"/>
    <xf numFmtId="0" fontId="0" fillId="8" borderId="19" xfId="0" applyFill="1" applyBorder="1" applyAlignment="1">
      <alignment horizontal="left"/>
    </xf>
    <xf numFmtId="0" fontId="0" fillId="2" borderId="8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10" borderId="0" xfId="0" applyFill="1"/>
    <xf numFmtId="0" fontId="0" fillId="10" borderId="0" xfId="0" applyFill="1" applyBorder="1"/>
    <xf numFmtId="0" fontId="0" fillId="6" borderId="20" xfId="0" applyFill="1" applyBorder="1" applyAlignment="1">
      <alignment horizontal="center"/>
    </xf>
    <xf numFmtId="0" fontId="0" fillId="6" borderId="21" xfId="0" applyFill="1" applyBorder="1"/>
    <xf numFmtId="0" fontId="1" fillId="10" borderId="22" xfId="0" applyFont="1" applyFill="1" applyBorder="1" applyAlignment="1">
      <alignment horizontal="center"/>
    </xf>
    <xf numFmtId="0" fontId="0" fillId="10" borderId="23" xfId="0" applyFill="1" applyBorder="1"/>
    <xf numFmtId="0" fontId="0" fillId="10" borderId="24" xfId="0" applyFill="1" applyBorder="1"/>
    <xf numFmtId="0" fontId="1" fillId="10" borderId="3" xfId="0" applyFont="1" applyFill="1" applyBorder="1" applyAlignment="1">
      <alignment horizontal="center"/>
    </xf>
    <xf numFmtId="0" fontId="0" fillId="10" borderId="25" xfId="0" applyFill="1" applyBorder="1"/>
    <xf numFmtId="0" fontId="0" fillId="10" borderId="26" xfId="0" applyFill="1" applyBorder="1"/>
    <xf numFmtId="0" fontId="0" fillId="10" borderId="27" xfId="0" applyFill="1" applyBorder="1"/>
    <xf numFmtId="0" fontId="0" fillId="10" borderId="28" xfId="0" applyFill="1" applyBorder="1"/>
    <xf numFmtId="0" fontId="0" fillId="10" borderId="29" xfId="0" applyFill="1" applyBorder="1"/>
    <xf numFmtId="0" fontId="0" fillId="4" borderId="30" xfId="0" applyFill="1" applyBorder="1"/>
    <xf numFmtId="0" fontId="0" fillId="5" borderId="31" xfId="0" applyFill="1" applyBorder="1" applyAlignment="1">
      <alignment horizontal="center"/>
    </xf>
    <xf numFmtId="0" fontId="0" fillId="0" borderId="28" xfId="0" applyBorder="1"/>
    <xf numFmtId="0" fontId="0" fillId="0" borderId="3" xfId="0" applyFill="1" applyBorder="1"/>
    <xf numFmtId="0" fontId="0" fillId="0" borderId="0" xfId="0" applyFill="1" applyBorder="1"/>
    <xf numFmtId="0" fontId="0" fillId="0" borderId="28" xfId="0" applyFill="1" applyBorder="1"/>
    <xf numFmtId="0" fontId="0" fillId="10" borderId="32" xfId="0" applyFill="1" applyBorder="1"/>
    <xf numFmtId="0" fontId="0" fillId="6" borderId="33" xfId="0" applyFill="1" applyBorder="1" applyAlignment="1">
      <alignment horizontal="center"/>
    </xf>
    <xf numFmtId="0" fontId="0" fillId="6" borderId="34" xfId="0" applyFill="1" applyBorder="1"/>
    <xf numFmtId="0" fontId="0" fillId="10" borderId="35" xfId="0" applyFill="1" applyBorder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/>
    <xf numFmtId="0" fontId="0" fillId="2" borderId="33" xfId="0" applyFill="1" applyBorder="1" applyAlignment="1">
      <alignment horizontal="center"/>
    </xf>
    <xf numFmtId="0" fontId="0" fillId="2" borderId="34" xfId="0" applyFill="1" applyBorder="1"/>
    <xf numFmtId="0" fontId="0" fillId="3" borderId="20" xfId="0" applyFill="1" applyBorder="1" applyAlignment="1">
      <alignment horizontal="center"/>
    </xf>
    <xf numFmtId="0" fontId="0" fillId="3" borderId="21" xfId="0" applyFill="1" applyBorder="1"/>
    <xf numFmtId="0" fontId="0" fillId="3" borderId="33" xfId="0" applyFill="1" applyBorder="1" applyAlignment="1">
      <alignment horizontal="center"/>
    </xf>
    <xf numFmtId="0" fontId="0" fillId="3" borderId="34" xfId="0" applyFill="1" applyBorder="1"/>
    <xf numFmtId="0" fontId="0" fillId="5" borderId="20" xfId="0" applyFill="1" applyBorder="1" applyAlignment="1">
      <alignment horizontal="center"/>
    </xf>
    <xf numFmtId="0" fontId="0" fillId="5" borderId="21" xfId="0" applyFill="1" applyBorder="1"/>
    <xf numFmtId="0" fontId="0" fillId="5" borderId="36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4" xfId="0" applyFill="1" applyBorder="1"/>
    <xf numFmtId="0" fontId="0" fillId="4" borderId="20" xfId="0" applyFill="1" applyBorder="1" applyAlignment="1">
      <alignment horizontal="center"/>
    </xf>
    <xf numFmtId="0" fontId="0" fillId="4" borderId="21" xfId="0" applyFill="1" applyBorder="1"/>
    <xf numFmtId="0" fontId="0" fillId="4" borderId="38" xfId="0" applyFill="1" applyBorder="1"/>
    <xf numFmtId="0" fontId="0" fillId="4" borderId="33" xfId="0" applyFill="1" applyBorder="1" applyAlignment="1">
      <alignment horizontal="center"/>
    </xf>
    <xf numFmtId="0" fontId="0" fillId="4" borderId="34" xfId="0" applyFill="1" applyBorder="1"/>
    <xf numFmtId="0" fontId="0" fillId="4" borderId="39" xfId="0" applyFill="1" applyBorder="1"/>
    <xf numFmtId="0" fontId="0" fillId="2" borderId="3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8" borderId="17" xfId="0" applyFill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8" borderId="12" xfId="0" applyFill="1" applyBorder="1" applyAlignment="1">
      <alignment horizontal="center" wrapText="1"/>
    </xf>
    <xf numFmtId="0" fontId="0" fillId="8" borderId="14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50"/>
      <color rgb="FFD9D9D9"/>
      <color rgb="FF000000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5391</xdr:colOff>
      <xdr:row>4</xdr:row>
      <xdr:rowOff>64381</xdr:rowOff>
    </xdr:from>
    <xdr:to>
      <xdr:col>26</xdr:col>
      <xdr:colOff>36604</xdr:colOff>
      <xdr:row>9</xdr:row>
      <xdr:rowOff>25845</xdr:rowOff>
    </xdr:to>
    <xdr:sp macro="" textlink="">
      <xdr:nvSpPr>
        <xdr:cNvPr id="9" name="Oval 8"/>
        <xdr:cNvSpPr/>
      </xdr:nvSpPr>
      <xdr:spPr>
        <a:xfrm rot="19702339">
          <a:off x="7378862" y="848793"/>
          <a:ext cx="2989566" cy="936376"/>
        </a:xfrm>
        <a:prstGeom prst="ellipse">
          <a:avLst/>
        </a:prstGeom>
        <a:noFill/>
        <a:ln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584267</xdr:colOff>
      <xdr:row>4</xdr:row>
      <xdr:rowOff>33746</xdr:rowOff>
    </xdr:from>
    <xdr:to>
      <xdr:col>26</xdr:col>
      <xdr:colOff>84284</xdr:colOff>
      <xdr:row>9</xdr:row>
      <xdr:rowOff>76352</xdr:rowOff>
    </xdr:to>
    <xdr:sp macro="" textlink="">
      <xdr:nvSpPr>
        <xdr:cNvPr id="62" name="Oval 61"/>
        <xdr:cNvSpPr/>
      </xdr:nvSpPr>
      <xdr:spPr>
        <a:xfrm rot="19702339">
          <a:off x="7352620" y="818158"/>
          <a:ext cx="3063488" cy="1017518"/>
        </a:xfrm>
        <a:prstGeom prst="ellipse">
          <a:avLst/>
        </a:prstGeom>
        <a:noFill/>
        <a:ln w="28575">
          <a:solidFill>
            <a:srgbClr val="FFC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552450</xdr:colOff>
      <xdr:row>4</xdr:row>
      <xdr:rowOff>114300</xdr:rowOff>
    </xdr:from>
    <xdr:to>
      <xdr:col>6</xdr:col>
      <xdr:colOff>85725</xdr:colOff>
      <xdr:row>5</xdr:row>
      <xdr:rowOff>66675</xdr:rowOff>
    </xdr:to>
    <xdr:sp macro="" textlink="">
      <xdr:nvSpPr>
        <xdr:cNvPr id="2" name="Oval 1"/>
        <xdr:cNvSpPr/>
      </xdr:nvSpPr>
      <xdr:spPr>
        <a:xfrm>
          <a:off x="1771650" y="30480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533400</xdr:colOff>
      <xdr:row>4</xdr:row>
      <xdr:rowOff>114300</xdr:rowOff>
    </xdr:from>
    <xdr:to>
      <xdr:col>12</xdr:col>
      <xdr:colOff>66675</xdr:colOff>
      <xdr:row>5</xdr:row>
      <xdr:rowOff>66675</xdr:rowOff>
    </xdr:to>
    <xdr:sp macro="" textlink="">
      <xdr:nvSpPr>
        <xdr:cNvPr id="4" name="Oval 3"/>
        <xdr:cNvSpPr/>
      </xdr:nvSpPr>
      <xdr:spPr>
        <a:xfrm>
          <a:off x="4552950" y="30480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533400</xdr:colOff>
      <xdr:row>4</xdr:row>
      <xdr:rowOff>114300</xdr:rowOff>
    </xdr:from>
    <xdr:to>
      <xdr:col>18</xdr:col>
      <xdr:colOff>66675</xdr:colOff>
      <xdr:row>5</xdr:row>
      <xdr:rowOff>66675</xdr:rowOff>
    </xdr:to>
    <xdr:sp macro="" textlink="">
      <xdr:nvSpPr>
        <xdr:cNvPr id="6" name="Oval 5"/>
        <xdr:cNvSpPr/>
      </xdr:nvSpPr>
      <xdr:spPr>
        <a:xfrm>
          <a:off x="7353300" y="30480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542925</xdr:colOff>
      <xdr:row>4</xdr:row>
      <xdr:rowOff>123825</xdr:rowOff>
    </xdr:from>
    <xdr:to>
      <xdr:col>24</xdr:col>
      <xdr:colOff>76200</xdr:colOff>
      <xdr:row>5</xdr:row>
      <xdr:rowOff>76200</xdr:rowOff>
    </xdr:to>
    <xdr:sp macro="" textlink="">
      <xdr:nvSpPr>
        <xdr:cNvPr id="8" name="Oval 7"/>
        <xdr:cNvSpPr/>
      </xdr:nvSpPr>
      <xdr:spPr>
        <a:xfrm>
          <a:off x="10163175" y="314325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523875</xdr:colOff>
      <xdr:row>4</xdr:row>
      <xdr:rowOff>133350</xdr:rowOff>
    </xdr:from>
    <xdr:to>
      <xdr:col>30</xdr:col>
      <xdr:colOff>57150</xdr:colOff>
      <xdr:row>5</xdr:row>
      <xdr:rowOff>85725</xdr:rowOff>
    </xdr:to>
    <xdr:sp macro="" textlink="">
      <xdr:nvSpPr>
        <xdr:cNvPr id="10" name="Oval 9"/>
        <xdr:cNvSpPr/>
      </xdr:nvSpPr>
      <xdr:spPr>
        <a:xfrm>
          <a:off x="12944475" y="32385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542925</xdr:colOff>
      <xdr:row>8</xdr:row>
      <xdr:rowOff>95250</xdr:rowOff>
    </xdr:from>
    <xdr:to>
      <xdr:col>33</xdr:col>
      <xdr:colOff>76200</xdr:colOff>
      <xdr:row>9</xdr:row>
      <xdr:rowOff>47625</xdr:rowOff>
    </xdr:to>
    <xdr:sp macro="" textlink="">
      <xdr:nvSpPr>
        <xdr:cNvPr id="11" name="Oval 10"/>
        <xdr:cNvSpPr/>
      </xdr:nvSpPr>
      <xdr:spPr>
        <a:xfrm>
          <a:off x="13754100" y="104775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533400</xdr:colOff>
      <xdr:row>4</xdr:row>
      <xdr:rowOff>114300</xdr:rowOff>
    </xdr:from>
    <xdr:to>
      <xdr:col>36</xdr:col>
      <xdr:colOff>66675</xdr:colOff>
      <xdr:row>5</xdr:row>
      <xdr:rowOff>66675</xdr:rowOff>
    </xdr:to>
    <xdr:sp macro="" textlink="">
      <xdr:nvSpPr>
        <xdr:cNvPr id="12" name="Oval 11"/>
        <xdr:cNvSpPr/>
      </xdr:nvSpPr>
      <xdr:spPr>
        <a:xfrm>
          <a:off x="15754350" y="30480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542925</xdr:colOff>
      <xdr:row>8</xdr:row>
      <xdr:rowOff>95250</xdr:rowOff>
    </xdr:from>
    <xdr:to>
      <xdr:col>27</xdr:col>
      <xdr:colOff>76200</xdr:colOff>
      <xdr:row>9</xdr:row>
      <xdr:rowOff>47625</xdr:rowOff>
    </xdr:to>
    <xdr:sp macro="" textlink="">
      <xdr:nvSpPr>
        <xdr:cNvPr id="18" name="Oval 17"/>
        <xdr:cNvSpPr/>
      </xdr:nvSpPr>
      <xdr:spPr>
        <a:xfrm>
          <a:off x="10953750" y="104775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542925</xdr:colOff>
      <xdr:row>8</xdr:row>
      <xdr:rowOff>114300</xdr:rowOff>
    </xdr:from>
    <xdr:to>
      <xdr:col>21</xdr:col>
      <xdr:colOff>76200</xdr:colOff>
      <xdr:row>9</xdr:row>
      <xdr:rowOff>66675</xdr:rowOff>
    </xdr:to>
    <xdr:sp macro="" textlink="">
      <xdr:nvSpPr>
        <xdr:cNvPr id="19" name="Oval 18"/>
        <xdr:cNvSpPr/>
      </xdr:nvSpPr>
      <xdr:spPr>
        <a:xfrm>
          <a:off x="8153400" y="106680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533400</xdr:colOff>
      <xdr:row>8</xdr:row>
      <xdr:rowOff>104775</xdr:rowOff>
    </xdr:from>
    <xdr:to>
      <xdr:col>15</xdr:col>
      <xdr:colOff>66675</xdr:colOff>
      <xdr:row>9</xdr:row>
      <xdr:rowOff>57150</xdr:rowOff>
    </xdr:to>
    <xdr:sp macro="" textlink="">
      <xdr:nvSpPr>
        <xdr:cNvPr id="20" name="Oval 19"/>
        <xdr:cNvSpPr/>
      </xdr:nvSpPr>
      <xdr:spPr>
        <a:xfrm>
          <a:off x="5343525" y="1057275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542925</xdr:colOff>
      <xdr:row>8</xdr:row>
      <xdr:rowOff>114300</xdr:rowOff>
    </xdr:from>
    <xdr:to>
      <xdr:col>9</xdr:col>
      <xdr:colOff>76200</xdr:colOff>
      <xdr:row>9</xdr:row>
      <xdr:rowOff>66675</xdr:rowOff>
    </xdr:to>
    <xdr:sp macro="" textlink="">
      <xdr:nvSpPr>
        <xdr:cNvPr id="22" name="Oval 21"/>
        <xdr:cNvSpPr/>
      </xdr:nvSpPr>
      <xdr:spPr>
        <a:xfrm>
          <a:off x="2552700" y="1066800"/>
          <a:ext cx="142875" cy="1428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438897</xdr:colOff>
      <xdr:row>4</xdr:row>
      <xdr:rowOff>37353</xdr:rowOff>
    </xdr:from>
    <xdr:to>
      <xdr:col>6</xdr:col>
      <xdr:colOff>177426</xdr:colOff>
      <xdr:row>5</xdr:row>
      <xdr:rowOff>121397</xdr:rowOff>
    </xdr:to>
    <xdr:sp macro="" textlink="">
      <xdr:nvSpPr>
        <xdr:cNvPr id="3" name="5-Point Star 2"/>
        <xdr:cNvSpPr/>
      </xdr:nvSpPr>
      <xdr:spPr>
        <a:xfrm>
          <a:off x="1045882" y="233456"/>
          <a:ext cx="345515" cy="270809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432547</xdr:colOff>
      <xdr:row>8</xdr:row>
      <xdr:rowOff>12327</xdr:rowOff>
    </xdr:from>
    <xdr:to>
      <xdr:col>9</xdr:col>
      <xdr:colOff>171076</xdr:colOff>
      <xdr:row>9</xdr:row>
      <xdr:rowOff>96371</xdr:rowOff>
    </xdr:to>
    <xdr:sp macro="" textlink="">
      <xdr:nvSpPr>
        <xdr:cNvPr id="14" name="5-Point Star 13"/>
        <xdr:cNvSpPr/>
      </xdr:nvSpPr>
      <xdr:spPr>
        <a:xfrm>
          <a:off x="2430929" y="974165"/>
          <a:ext cx="345515" cy="270809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426196</xdr:colOff>
      <xdr:row>4</xdr:row>
      <xdr:rowOff>15315</xdr:rowOff>
    </xdr:from>
    <xdr:to>
      <xdr:col>18</xdr:col>
      <xdr:colOff>164726</xdr:colOff>
      <xdr:row>5</xdr:row>
      <xdr:rowOff>99359</xdr:rowOff>
    </xdr:to>
    <xdr:sp macro="" textlink="">
      <xdr:nvSpPr>
        <xdr:cNvPr id="15" name="5-Point Star 14"/>
        <xdr:cNvSpPr/>
      </xdr:nvSpPr>
      <xdr:spPr>
        <a:xfrm>
          <a:off x="6598770" y="211418"/>
          <a:ext cx="345515" cy="270809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438523</xdr:colOff>
      <xdr:row>8</xdr:row>
      <xdr:rowOff>27642</xdr:rowOff>
    </xdr:from>
    <xdr:to>
      <xdr:col>21</xdr:col>
      <xdr:colOff>177053</xdr:colOff>
      <xdr:row>9</xdr:row>
      <xdr:rowOff>111686</xdr:rowOff>
    </xdr:to>
    <xdr:sp macro="" textlink="">
      <xdr:nvSpPr>
        <xdr:cNvPr id="16" name="5-Point Star 15"/>
        <xdr:cNvSpPr/>
      </xdr:nvSpPr>
      <xdr:spPr>
        <a:xfrm>
          <a:off x="8002494" y="989480"/>
          <a:ext cx="345515" cy="270809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441511</xdr:colOff>
      <xdr:row>4</xdr:row>
      <xdr:rowOff>39968</xdr:rowOff>
    </xdr:from>
    <xdr:to>
      <xdr:col>24</xdr:col>
      <xdr:colOff>180041</xdr:colOff>
      <xdr:row>5</xdr:row>
      <xdr:rowOff>124012</xdr:rowOff>
    </xdr:to>
    <xdr:sp macro="" textlink="">
      <xdr:nvSpPr>
        <xdr:cNvPr id="17" name="5-Point Star 16"/>
        <xdr:cNvSpPr/>
      </xdr:nvSpPr>
      <xdr:spPr>
        <a:xfrm>
          <a:off x="9396879" y="236071"/>
          <a:ext cx="345515" cy="270809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435162</xdr:colOff>
      <xdr:row>8</xdr:row>
      <xdr:rowOff>5603</xdr:rowOff>
    </xdr:from>
    <xdr:to>
      <xdr:col>33</xdr:col>
      <xdr:colOff>173692</xdr:colOff>
      <xdr:row>9</xdr:row>
      <xdr:rowOff>89647</xdr:rowOff>
    </xdr:to>
    <xdr:sp macro="" textlink="">
      <xdr:nvSpPr>
        <xdr:cNvPr id="21" name="5-Point Star 20"/>
        <xdr:cNvSpPr/>
      </xdr:nvSpPr>
      <xdr:spPr>
        <a:xfrm>
          <a:off x="13564721" y="1537074"/>
          <a:ext cx="345515" cy="270808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428811</xdr:colOff>
      <xdr:row>4</xdr:row>
      <xdr:rowOff>27268</xdr:rowOff>
    </xdr:from>
    <xdr:to>
      <xdr:col>36</xdr:col>
      <xdr:colOff>167341</xdr:colOff>
      <xdr:row>5</xdr:row>
      <xdr:rowOff>111312</xdr:rowOff>
    </xdr:to>
    <xdr:sp macro="" textlink="">
      <xdr:nvSpPr>
        <xdr:cNvPr id="23" name="5-Point Star 22"/>
        <xdr:cNvSpPr/>
      </xdr:nvSpPr>
      <xdr:spPr>
        <a:xfrm>
          <a:off x="14949767" y="793003"/>
          <a:ext cx="345515" cy="270809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146770</xdr:colOff>
      <xdr:row>4</xdr:row>
      <xdr:rowOff>130699</xdr:rowOff>
    </xdr:from>
    <xdr:ext cx="939103" cy="468013"/>
    <xdr:sp macro="" textlink="">
      <xdr:nvSpPr>
        <xdr:cNvPr id="5" name="Rectangle 4"/>
        <xdr:cNvSpPr/>
      </xdr:nvSpPr>
      <xdr:spPr>
        <a:xfrm>
          <a:off x="2141417" y="724611"/>
          <a:ext cx="939103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sz="24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SAND</a:t>
          </a:r>
        </a:p>
      </xdr:txBody>
    </xdr:sp>
    <xdr:clientData/>
  </xdr:oneCellAnchor>
  <xdr:twoCellAnchor>
    <xdr:from>
      <xdr:col>17</xdr:col>
      <xdr:colOff>437030</xdr:colOff>
      <xdr:row>10</xdr:row>
      <xdr:rowOff>134470</xdr:rowOff>
    </xdr:from>
    <xdr:to>
      <xdr:col>18</xdr:col>
      <xdr:colOff>168089</xdr:colOff>
      <xdr:row>11</xdr:row>
      <xdr:rowOff>156882</xdr:rowOff>
    </xdr:to>
    <xdr:sp macro="" textlink="">
      <xdr:nvSpPr>
        <xdr:cNvPr id="28" name="Isosceles Triangle 27"/>
        <xdr:cNvSpPr/>
      </xdr:nvSpPr>
      <xdr:spPr>
        <a:xfrm>
          <a:off x="6600265" y="2084294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432547</xdr:colOff>
      <xdr:row>10</xdr:row>
      <xdr:rowOff>107576</xdr:rowOff>
    </xdr:from>
    <xdr:to>
      <xdr:col>21</xdr:col>
      <xdr:colOff>163607</xdr:colOff>
      <xdr:row>11</xdr:row>
      <xdr:rowOff>129988</xdr:rowOff>
    </xdr:to>
    <xdr:sp macro="" textlink="">
      <xdr:nvSpPr>
        <xdr:cNvPr id="29" name="Isosceles Triangle 28"/>
        <xdr:cNvSpPr/>
      </xdr:nvSpPr>
      <xdr:spPr>
        <a:xfrm>
          <a:off x="7985312" y="2057400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439271</xdr:colOff>
      <xdr:row>10</xdr:row>
      <xdr:rowOff>114299</xdr:rowOff>
    </xdr:from>
    <xdr:to>
      <xdr:col>24</xdr:col>
      <xdr:colOff>170330</xdr:colOff>
      <xdr:row>11</xdr:row>
      <xdr:rowOff>136711</xdr:rowOff>
    </xdr:to>
    <xdr:sp macro="" textlink="">
      <xdr:nvSpPr>
        <xdr:cNvPr id="30" name="Isosceles Triangle 29"/>
        <xdr:cNvSpPr/>
      </xdr:nvSpPr>
      <xdr:spPr>
        <a:xfrm>
          <a:off x="9381565" y="2064123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434788</xdr:colOff>
      <xdr:row>10</xdr:row>
      <xdr:rowOff>109816</xdr:rowOff>
    </xdr:from>
    <xdr:to>
      <xdr:col>27</xdr:col>
      <xdr:colOff>165848</xdr:colOff>
      <xdr:row>11</xdr:row>
      <xdr:rowOff>132228</xdr:rowOff>
    </xdr:to>
    <xdr:sp macro="" textlink="">
      <xdr:nvSpPr>
        <xdr:cNvPr id="31" name="Isosceles Triangle 30"/>
        <xdr:cNvSpPr/>
      </xdr:nvSpPr>
      <xdr:spPr>
        <a:xfrm>
          <a:off x="10766612" y="2070845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</a:p>
      </xdr:txBody>
    </xdr:sp>
    <xdr:clientData/>
  </xdr:twoCellAnchor>
  <xdr:twoCellAnchor>
    <xdr:from>
      <xdr:col>40</xdr:col>
      <xdr:colOff>191619</xdr:colOff>
      <xdr:row>19</xdr:row>
      <xdr:rowOff>131856</xdr:rowOff>
    </xdr:from>
    <xdr:to>
      <xdr:col>40</xdr:col>
      <xdr:colOff>535266</xdr:colOff>
      <xdr:row>21</xdr:row>
      <xdr:rowOff>33618</xdr:rowOff>
    </xdr:to>
    <xdr:sp macro="" textlink="">
      <xdr:nvSpPr>
        <xdr:cNvPr id="40" name="5-Point Star 39"/>
        <xdr:cNvSpPr/>
      </xdr:nvSpPr>
      <xdr:spPr>
        <a:xfrm>
          <a:off x="16984194" y="3827556"/>
          <a:ext cx="343647" cy="282762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35486</xdr:colOff>
      <xdr:row>25</xdr:row>
      <xdr:rowOff>22410</xdr:rowOff>
    </xdr:from>
    <xdr:to>
      <xdr:col>41</xdr:col>
      <xdr:colOff>10191</xdr:colOff>
      <xdr:row>26</xdr:row>
      <xdr:rowOff>9336</xdr:rowOff>
    </xdr:to>
    <xdr:sp macro="" textlink="">
      <xdr:nvSpPr>
        <xdr:cNvPr id="41" name="Freeform 40"/>
        <xdr:cNvSpPr/>
      </xdr:nvSpPr>
      <xdr:spPr>
        <a:xfrm>
          <a:off x="16093515" y="4885763"/>
          <a:ext cx="1184941" cy="177426"/>
        </a:xfrm>
        <a:custGeom>
          <a:avLst/>
          <a:gdLst>
            <a:gd name="connsiteX0" fmla="*/ 0 w 10832353"/>
            <a:gd name="connsiteY0" fmla="*/ 1475442 h 1503456"/>
            <a:gd name="connsiteX1" fmla="*/ 1298015 w 10832353"/>
            <a:gd name="connsiteY1" fmla="*/ 9339 h 1503456"/>
            <a:gd name="connsiteX2" fmla="*/ 9777132 w 10832353"/>
            <a:gd name="connsiteY2" fmla="*/ 0 h 1503456"/>
            <a:gd name="connsiteX3" fmla="*/ 10832353 w 10832353"/>
            <a:gd name="connsiteY3" fmla="*/ 1503456 h 1503456"/>
            <a:gd name="connsiteX4" fmla="*/ 0 w 10832353"/>
            <a:gd name="connsiteY4" fmla="*/ 1475442 h 15034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832353" h="1503456">
              <a:moveTo>
                <a:pt x="0" y="1475442"/>
              </a:moveTo>
              <a:lnTo>
                <a:pt x="1298015" y="9339"/>
              </a:lnTo>
              <a:lnTo>
                <a:pt x="9777132" y="0"/>
              </a:lnTo>
              <a:lnTo>
                <a:pt x="10832353" y="1503456"/>
              </a:lnTo>
              <a:lnTo>
                <a:pt x="0" y="1475442"/>
              </a:lnTo>
              <a:close/>
            </a:path>
          </a:pathLst>
        </a:custGeom>
        <a:noFill/>
        <a:ln>
          <a:solidFill>
            <a:schemeClr val="accent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127748</xdr:colOff>
      <xdr:row>30</xdr:row>
      <xdr:rowOff>161365</xdr:rowOff>
    </xdr:from>
    <xdr:to>
      <xdr:col>40</xdr:col>
      <xdr:colOff>463925</xdr:colOff>
      <xdr:row>31</xdr:row>
      <xdr:rowOff>183777</xdr:rowOff>
    </xdr:to>
    <xdr:sp macro="" textlink="">
      <xdr:nvSpPr>
        <xdr:cNvPr id="43" name="Isosceles Triangle 42"/>
        <xdr:cNvSpPr/>
      </xdr:nvSpPr>
      <xdr:spPr>
        <a:xfrm>
          <a:off x="16790895" y="5977218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289110</xdr:colOff>
      <xdr:row>32</xdr:row>
      <xdr:rowOff>165847</xdr:rowOff>
    </xdr:from>
    <xdr:to>
      <xdr:col>41</xdr:col>
      <xdr:colOff>67233</xdr:colOff>
      <xdr:row>35</xdr:row>
      <xdr:rowOff>56030</xdr:rowOff>
    </xdr:to>
    <xdr:sp macro="" textlink="">
      <xdr:nvSpPr>
        <xdr:cNvPr id="44" name="Rectangle 43"/>
        <xdr:cNvSpPr/>
      </xdr:nvSpPr>
      <xdr:spPr>
        <a:xfrm>
          <a:off x="15999757" y="6362700"/>
          <a:ext cx="1335741" cy="461683"/>
        </a:xfrm>
        <a:prstGeom prst="rect">
          <a:avLst/>
        </a:prstGeom>
        <a:solidFill>
          <a:srgbClr val="92D050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Stages</a:t>
          </a:r>
          <a:r>
            <a:rPr lang="en-US" sz="1100" baseline="0">
              <a:solidFill>
                <a:sysClr val="windowText" lastClr="000000"/>
              </a:solidFill>
            </a:rPr>
            <a:t> Monitored by Microseismic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562161</xdr:colOff>
      <xdr:row>20</xdr:row>
      <xdr:rowOff>147171</xdr:rowOff>
    </xdr:from>
    <xdr:to>
      <xdr:col>40</xdr:col>
      <xdr:colOff>300690</xdr:colOff>
      <xdr:row>22</xdr:row>
      <xdr:rowOff>40715</xdr:rowOff>
    </xdr:to>
    <xdr:sp macro="" textlink="">
      <xdr:nvSpPr>
        <xdr:cNvPr id="45" name="5-Point Star 44"/>
        <xdr:cNvSpPr/>
      </xdr:nvSpPr>
      <xdr:spPr>
        <a:xfrm>
          <a:off x="16745136" y="4033371"/>
          <a:ext cx="348129" cy="274544"/>
        </a:xfrm>
        <a:prstGeom prst="star5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48373</xdr:colOff>
      <xdr:row>23</xdr:row>
      <xdr:rowOff>20170</xdr:rowOff>
    </xdr:from>
    <xdr:to>
      <xdr:col>41</xdr:col>
      <xdr:colOff>23078</xdr:colOff>
      <xdr:row>24</xdr:row>
      <xdr:rowOff>7096</xdr:rowOff>
    </xdr:to>
    <xdr:sp macro="" textlink="">
      <xdr:nvSpPr>
        <xdr:cNvPr id="61" name="Freeform 60"/>
        <xdr:cNvSpPr/>
      </xdr:nvSpPr>
      <xdr:spPr>
        <a:xfrm>
          <a:off x="16106402" y="4502523"/>
          <a:ext cx="1184941" cy="177426"/>
        </a:xfrm>
        <a:custGeom>
          <a:avLst/>
          <a:gdLst>
            <a:gd name="connsiteX0" fmla="*/ 0 w 10832353"/>
            <a:gd name="connsiteY0" fmla="*/ 1475442 h 1503456"/>
            <a:gd name="connsiteX1" fmla="*/ 1298015 w 10832353"/>
            <a:gd name="connsiteY1" fmla="*/ 9339 h 1503456"/>
            <a:gd name="connsiteX2" fmla="*/ 9777132 w 10832353"/>
            <a:gd name="connsiteY2" fmla="*/ 0 h 1503456"/>
            <a:gd name="connsiteX3" fmla="*/ 10832353 w 10832353"/>
            <a:gd name="connsiteY3" fmla="*/ 1503456 h 1503456"/>
            <a:gd name="connsiteX4" fmla="*/ 0 w 10832353"/>
            <a:gd name="connsiteY4" fmla="*/ 1475442 h 15034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832353" h="1503456">
              <a:moveTo>
                <a:pt x="0" y="1475442"/>
              </a:moveTo>
              <a:lnTo>
                <a:pt x="1298015" y="9339"/>
              </a:lnTo>
              <a:lnTo>
                <a:pt x="9777132" y="0"/>
              </a:lnTo>
              <a:lnTo>
                <a:pt x="10832353" y="1503456"/>
              </a:lnTo>
              <a:lnTo>
                <a:pt x="0" y="1475442"/>
              </a:lnTo>
              <a:close/>
            </a:path>
          </a:pathLst>
        </a:cu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425076</xdr:colOff>
      <xdr:row>4</xdr:row>
      <xdr:rowOff>21665</xdr:rowOff>
    </xdr:from>
    <xdr:to>
      <xdr:col>12</xdr:col>
      <xdr:colOff>163605</xdr:colOff>
      <xdr:row>5</xdr:row>
      <xdr:rowOff>105709</xdr:rowOff>
    </xdr:to>
    <xdr:sp macro="" textlink="">
      <xdr:nvSpPr>
        <xdr:cNvPr id="63" name="5-Point Star 62"/>
        <xdr:cNvSpPr/>
      </xdr:nvSpPr>
      <xdr:spPr>
        <a:xfrm>
          <a:off x="3809252" y="806077"/>
          <a:ext cx="343647" cy="274544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420593</xdr:colOff>
      <xdr:row>8</xdr:row>
      <xdr:rowOff>17182</xdr:rowOff>
    </xdr:from>
    <xdr:to>
      <xdr:col>15</xdr:col>
      <xdr:colOff>159122</xdr:colOff>
      <xdr:row>9</xdr:row>
      <xdr:rowOff>101226</xdr:rowOff>
    </xdr:to>
    <xdr:sp macro="" textlink="">
      <xdr:nvSpPr>
        <xdr:cNvPr id="64" name="5-Point Star 63"/>
        <xdr:cNvSpPr/>
      </xdr:nvSpPr>
      <xdr:spPr>
        <a:xfrm>
          <a:off x="5194299" y="1586006"/>
          <a:ext cx="343647" cy="274544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438522</xdr:colOff>
      <xdr:row>8</xdr:row>
      <xdr:rowOff>12700</xdr:rowOff>
    </xdr:from>
    <xdr:to>
      <xdr:col>27</xdr:col>
      <xdr:colOff>177052</xdr:colOff>
      <xdr:row>9</xdr:row>
      <xdr:rowOff>96744</xdr:rowOff>
    </xdr:to>
    <xdr:sp macro="" textlink="">
      <xdr:nvSpPr>
        <xdr:cNvPr id="65" name="5-Point Star 64"/>
        <xdr:cNvSpPr/>
      </xdr:nvSpPr>
      <xdr:spPr>
        <a:xfrm>
          <a:off x="10770346" y="1581524"/>
          <a:ext cx="343647" cy="274544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422834</xdr:colOff>
      <xdr:row>4</xdr:row>
      <xdr:rowOff>41835</xdr:rowOff>
    </xdr:from>
    <xdr:to>
      <xdr:col>30</xdr:col>
      <xdr:colOff>161363</xdr:colOff>
      <xdr:row>5</xdr:row>
      <xdr:rowOff>125879</xdr:rowOff>
    </xdr:to>
    <xdr:sp macro="" textlink="">
      <xdr:nvSpPr>
        <xdr:cNvPr id="66" name="5-Point Star 65"/>
        <xdr:cNvSpPr/>
      </xdr:nvSpPr>
      <xdr:spPr>
        <a:xfrm>
          <a:off x="12144187" y="826247"/>
          <a:ext cx="343647" cy="274544"/>
        </a:xfrm>
        <a:prstGeom prst="star5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432547</xdr:colOff>
      <xdr:row>10</xdr:row>
      <xdr:rowOff>107575</xdr:rowOff>
    </xdr:from>
    <xdr:to>
      <xdr:col>15</xdr:col>
      <xdr:colOff>163606</xdr:colOff>
      <xdr:row>11</xdr:row>
      <xdr:rowOff>129987</xdr:rowOff>
    </xdr:to>
    <xdr:sp macro="" textlink="">
      <xdr:nvSpPr>
        <xdr:cNvPr id="53" name="Isosceles Triangle 52"/>
        <xdr:cNvSpPr/>
      </xdr:nvSpPr>
      <xdr:spPr>
        <a:xfrm>
          <a:off x="5206253" y="2068604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439271</xdr:colOff>
      <xdr:row>10</xdr:row>
      <xdr:rowOff>103093</xdr:rowOff>
    </xdr:from>
    <xdr:to>
      <xdr:col>12</xdr:col>
      <xdr:colOff>170330</xdr:colOff>
      <xdr:row>11</xdr:row>
      <xdr:rowOff>125505</xdr:rowOff>
    </xdr:to>
    <xdr:sp macro="" textlink="">
      <xdr:nvSpPr>
        <xdr:cNvPr id="54" name="Isosceles Triangle 53"/>
        <xdr:cNvSpPr/>
      </xdr:nvSpPr>
      <xdr:spPr>
        <a:xfrm>
          <a:off x="3823447" y="2064122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457201</xdr:colOff>
      <xdr:row>10</xdr:row>
      <xdr:rowOff>132230</xdr:rowOff>
    </xdr:from>
    <xdr:to>
      <xdr:col>9</xdr:col>
      <xdr:colOff>188260</xdr:colOff>
      <xdr:row>11</xdr:row>
      <xdr:rowOff>154642</xdr:rowOff>
    </xdr:to>
    <xdr:sp macro="" textlink="">
      <xdr:nvSpPr>
        <xdr:cNvPr id="55" name="Isosceles Triangle 54"/>
        <xdr:cNvSpPr/>
      </xdr:nvSpPr>
      <xdr:spPr>
        <a:xfrm>
          <a:off x="2451848" y="2082054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437029</xdr:colOff>
      <xdr:row>10</xdr:row>
      <xdr:rowOff>78442</xdr:rowOff>
    </xdr:from>
    <xdr:to>
      <xdr:col>6</xdr:col>
      <xdr:colOff>168089</xdr:colOff>
      <xdr:row>11</xdr:row>
      <xdr:rowOff>100854</xdr:rowOff>
    </xdr:to>
    <xdr:sp macro="" textlink="">
      <xdr:nvSpPr>
        <xdr:cNvPr id="56" name="Isosceles Triangle 55"/>
        <xdr:cNvSpPr/>
      </xdr:nvSpPr>
      <xdr:spPr>
        <a:xfrm>
          <a:off x="1042147" y="2028266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321497</xdr:colOff>
      <xdr:row>28</xdr:row>
      <xdr:rowOff>136083</xdr:rowOff>
    </xdr:from>
    <xdr:to>
      <xdr:col>41</xdr:col>
      <xdr:colOff>46091</xdr:colOff>
      <xdr:row>30</xdr:row>
      <xdr:rowOff>89571</xdr:rowOff>
    </xdr:to>
    <xdr:sp macro="" textlink="">
      <xdr:nvSpPr>
        <xdr:cNvPr id="57" name="Oval 56"/>
        <xdr:cNvSpPr/>
      </xdr:nvSpPr>
      <xdr:spPr>
        <a:xfrm>
          <a:off x="16032144" y="5570936"/>
          <a:ext cx="1282212" cy="334488"/>
        </a:xfrm>
        <a:prstGeom prst="ellipse">
          <a:avLst/>
        </a:prstGeom>
        <a:noFill/>
        <a:ln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324971</xdr:colOff>
      <xdr:row>26</xdr:row>
      <xdr:rowOff>120394</xdr:rowOff>
    </xdr:from>
    <xdr:to>
      <xdr:col>41</xdr:col>
      <xdr:colOff>22411</xdr:colOff>
      <xdr:row>28</xdr:row>
      <xdr:rowOff>73882</xdr:rowOff>
    </xdr:to>
    <xdr:sp macro="" textlink="">
      <xdr:nvSpPr>
        <xdr:cNvPr id="58" name="Oval 57"/>
        <xdr:cNvSpPr/>
      </xdr:nvSpPr>
      <xdr:spPr>
        <a:xfrm>
          <a:off x="16035618" y="5174247"/>
          <a:ext cx="1255058" cy="334488"/>
        </a:xfrm>
        <a:prstGeom prst="ellipse">
          <a:avLst/>
        </a:prstGeom>
        <a:noFill/>
        <a:ln>
          <a:solidFill>
            <a:srgbClr val="FFC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87780</xdr:colOff>
      <xdr:row>0</xdr:row>
      <xdr:rowOff>186765</xdr:rowOff>
    </xdr:from>
    <xdr:to>
      <xdr:col>14</xdr:col>
      <xdr:colOff>2801</xdr:colOff>
      <xdr:row>6</xdr:row>
      <xdr:rowOff>63500</xdr:rowOff>
    </xdr:to>
    <xdr:sp macro="" textlink="">
      <xdr:nvSpPr>
        <xdr:cNvPr id="67" name="Oval 66"/>
        <xdr:cNvSpPr/>
      </xdr:nvSpPr>
      <xdr:spPr>
        <a:xfrm>
          <a:off x="4929655" y="186765"/>
          <a:ext cx="1470771" cy="1067360"/>
        </a:xfrm>
        <a:prstGeom prst="ellipse">
          <a:avLst/>
        </a:prstGeom>
        <a:noFill/>
        <a:ln w="28575">
          <a:solidFill>
            <a:srgbClr val="FFC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6724</xdr:colOff>
      <xdr:row>37</xdr:row>
      <xdr:rowOff>17929</xdr:rowOff>
    </xdr:from>
    <xdr:to>
      <xdr:col>31</xdr:col>
      <xdr:colOff>152400</xdr:colOff>
      <xdr:row>37</xdr:row>
      <xdr:rowOff>163606</xdr:rowOff>
    </xdr:to>
    <xdr:sp macro="" textlink="">
      <xdr:nvSpPr>
        <xdr:cNvPr id="69" name="Oval 68"/>
        <xdr:cNvSpPr/>
      </xdr:nvSpPr>
      <xdr:spPr>
        <a:xfrm>
          <a:off x="12938312" y="6775076"/>
          <a:ext cx="145676" cy="14567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533400</xdr:colOff>
      <xdr:row>9</xdr:row>
      <xdr:rowOff>141193</xdr:rowOff>
    </xdr:from>
    <xdr:to>
      <xdr:col>9</xdr:col>
      <xdr:colOff>73958</xdr:colOff>
      <xdr:row>10</xdr:row>
      <xdr:rowOff>96370</xdr:rowOff>
    </xdr:to>
    <xdr:sp macro="" textlink="">
      <xdr:nvSpPr>
        <xdr:cNvPr id="68" name="Oval 67"/>
        <xdr:cNvSpPr/>
      </xdr:nvSpPr>
      <xdr:spPr>
        <a:xfrm>
          <a:off x="2528047" y="1900517"/>
          <a:ext cx="145676" cy="14567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537882</xdr:colOff>
      <xdr:row>9</xdr:row>
      <xdr:rowOff>33618</xdr:rowOff>
    </xdr:from>
    <xdr:to>
      <xdr:col>6</xdr:col>
      <xdr:colOff>78441</xdr:colOff>
      <xdr:row>9</xdr:row>
      <xdr:rowOff>179295</xdr:rowOff>
    </xdr:to>
    <xdr:sp macro="" textlink="">
      <xdr:nvSpPr>
        <xdr:cNvPr id="70" name="Oval 69"/>
        <xdr:cNvSpPr/>
      </xdr:nvSpPr>
      <xdr:spPr>
        <a:xfrm>
          <a:off x="1143000" y="1792942"/>
          <a:ext cx="145676" cy="14567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443433</xdr:colOff>
      <xdr:row>8</xdr:row>
      <xdr:rowOff>173531</xdr:rowOff>
    </xdr:from>
    <xdr:to>
      <xdr:col>6</xdr:col>
      <xdr:colOff>174492</xdr:colOff>
      <xdr:row>9</xdr:row>
      <xdr:rowOff>173531</xdr:rowOff>
    </xdr:to>
    <xdr:sp macro="" textlink="">
      <xdr:nvSpPr>
        <xdr:cNvPr id="13" name="TextBox 12"/>
        <xdr:cNvSpPr txBox="1"/>
      </xdr:nvSpPr>
      <xdr:spPr>
        <a:xfrm>
          <a:off x="1053033" y="1735631"/>
          <a:ext cx="34065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8</xdr:col>
      <xdr:colOff>460082</xdr:colOff>
      <xdr:row>9</xdr:row>
      <xdr:rowOff>64034</xdr:rowOff>
    </xdr:from>
    <xdr:to>
      <xdr:col>9</xdr:col>
      <xdr:colOff>191141</xdr:colOff>
      <xdr:row>10</xdr:row>
      <xdr:rowOff>64034</xdr:rowOff>
    </xdr:to>
    <xdr:sp macro="" textlink="">
      <xdr:nvSpPr>
        <xdr:cNvPr id="71" name="TextBox 70"/>
        <xdr:cNvSpPr txBox="1"/>
      </xdr:nvSpPr>
      <xdr:spPr>
        <a:xfrm>
          <a:off x="2454729" y="1834563"/>
          <a:ext cx="336177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30</xdr:col>
      <xdr:colOff>517932</xdr:colOff>
      <xdr:row>36</xdr:row>
      <xdr:rowOff>149550</xdr:rowOff>
    </xdr:from>
    <xdr:to>
      <xdr:col>32</xdr:col>
      <xdr:colOff>70398</xdr:colOff>
      <xdr:row>37</xdr:row>
      <xdr:rowOff>149550</xdr:rowOff>
    </xdr:to>
    <xdr:sp macro="" textlink="">
      <xdr:nvSpPr>
        <xdr:cNvPr id="72" name="TextBox 71"/>
        <xdr:cNvSpPr txBox="1"/>
      </xdr:nvSpPr>
      <xdr:spPr>
        <a:xfrm>
          <a:off x="12876620" y="6721800"/>
          <a:ext cx="338278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20</xdr:col>
      <xdr:colOff>537823</xdr:colOff>
      <xdr:row>9</xdr:row>
      <xdr:rowOff>105806</xdr:rowOff>
    </xdr:from>
    <xdr:to>
      <xdr:col>21</xdr:col>
      <xdr:colOff>78381</xdr:colOff>
      <xdr:row>10</xdr:row>
      <xdr:rowOff>60983</xdr:rowOff>
    </xdr:to>
    <xdr:sp macro="" textlink="">
      <xdr:nvSpPr>
        <xdr:cNvPr id="74" name="Oval 73"/>
        <xdr:cNvSpPr/>
      </xdr:nvSpPr>
      <xdr:spPr>
        <a:xfrm>
          <a:off x="8167849" y="1860411"/>
          <a:ext cx="152164" cy="14567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440426</xdr:colOff>
      <xdr:row>9</xdr:row>
      <xdr:rowOff>55221</xdr:rowOff>
    </xdr:from>
    <xdr:to>
      <xdr:col>21</xdr:col>
      <xdr:colOff>171485</xdr:colOff>
      <xdr:row>10</xdr:row>
      <xdr:rowOff>55221</xdr:rowOff>
    </xdr:to>
    <xdr:sp macro="" textlink="">
      <xdr:nvSpPr>
        <xdr:cNvPr id="73" name="TextBox 72"/>
        <xdr:cNvSpPr txBox="1"/>
      </xdr:nvSpPr>
      <xdr:spPr>
        <a:xfrm>
          <a:off x="8070452" y="1809826"/>
          <a:ext cx="34266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H</a:t>
          </a:r>
        </a:p>
      </xdr:txBody>
    </xdr:sp>
    <xdr:clientData/>
  </xdr:twoCellAnchor>
  <xdr:twoCellAnchor>
    <xdr:from>
      <xdr:col>40</xdr:col>
      <xdr:colOff>549649</xdr:colOff>
      <xdr:row>36</xdr:row>
      <xdr:rowOff>33618</xdr:rowOff>
    </xdr:from>
    <xdr:to>
      <xdr:col>41</xdr:col>
      <xdr:colOff>90768</xdr:colOff>
      <xdr:row>36</xdr:row>
      <xdr:rowOff>179295</xdr:rowOff>
    </xdr:to>
    <xdr:sp macro="" textlink="">
      <xdr:nvSpPr>
        <xdr:cNvPr id="79" name="Oval 78"/>
        <xdr:cNvSpPr/>
      </xdr:nvSpPr>
      <xdr:spPr>
        <a:xfrm>
          <a:off x="17212796" y="6992471"/>
          <a:ext cx="146237" cy="145677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572060</xdr:colOff>
      <xdr:row>38</xdr:row>
      <xdr:rowOff>44823</xdr:rowOff>
    </xdr:from>
    <xdr:to>
      <xdr:col>41</xdr:col>
      <xdr:colOff>113179</xdr:colOff>
      <xdr:row>39</xdr:row>
      <xdr:rowOff>0</xdr:rowOff>
    </xdr:to>
    <xdr:sp macro="" textlink="">
      <xdr:nvSpPr>
        <xdr:cNvPr id="83" name="Oval 82"/>
        <xdr:cNvSpPr/>
      </xdr:nvSpPr>
      <xdr:spPr>
        <a:xfrm>
          <a:off x="17235207" y="7384676"/>
          <a:ext cx="146237" cy="145677"/>
        </a:xfrm>
        <a:prstGeom prst="ellipse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18490</xdr:colOff>
      <xdr:row>32</xdr:row>
      <xdr:rowOff>17929</xdr:rowOff>
    </xdr:from>
    <xdr:to>
      <xdr:col>31</xdr:col>
      <xdr:colOff>164727</xdr:colOff>
      <xdr:row>32</xdr:row>
      <xdr:rowOff>163606</xdr:rowOff>
    </xdr:to>
    <xdr:sp macro="" textlink="">
      <xdr:nvSpPr>
        <xdr:cNvPr id="84" name="Oval 83"/>
        <xdr:cNvSpPr/>
      </xdr:nvSpPr>
      <xdr:spPr>
        <a:xfrm>
          <a:off x="12950078" y="5822576"/>
          <a:ext cx="146237" cy="145677"/>
        </a:xfrm>
        <a:prstGeom prst="ellipse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25213</xdr:colOff>
      <xdr:row>22</xdr:row>
      <xdr:rowOff>35858</xdr:rowOff>
    </xdr:from>
    <xdr:to>
      <xdr:col>31</xdr:col>
      <xdr:colOff>171450</xdr:colOff>
      <xdr:row>22</xdr:row>
      <xdr:rowOff>181535</xdr:rowOff>
    </xdr:to>
    <xdr:sp macro="" textlink="">
      <xdr:nvSpPr>
        <xdr:cNvPr id="85" name="Oval 84"/>
        <xdr:cNvSpPr/>
      </xdr:nvSpPr>
      <xdr:spPr>
        <a:xfrm>
          <a:off x="12956801" y="3935505"/>
          <a:ext cx="146237" cy="145677"/>
        </a:xfrm>
        <a:prstGeom prst="ellipse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9524</xdr:colOff>
      <xdr:row>26</xdr:row>
      <xdr:rowOff>31376</xdr:rowOff>
    </xdr:from>
    <xdr:to>
      <xdr:col>19</xdr:col>
      <xdr:colOff>155761</xdr:colOff>
      <xdr:row>26</xdr:row>
      <xdr:rowOff>177053</xdr:rowOff>
    </xdr:to>
    <xdr:sp macro="" textlink="">
      <xdr:nvSpPr>
        <xdr:cNvPr id="86" name="Oval 85"/>
        <xdr:cNvSpPr/>
      </xdr:nvSpPr>
      <xdr:spPr>
        <a:xfrm>
          <a:off x="7382995" y="4693023"/>
          <a:ext cx="146237" cy="145677"/>
        </a:xfrm>
        <a:prstGeom prst="ellipse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476250</xdr:colOff>
      <xdr:row>21</xdr:row>
      <xdr:rowOff>23812</xdr:rowOff>
    </xdr:from>
    <xdr:to>
      <xdr:col>24</xdr:col>
      <xdr:colOff>285751</xdr:colOff>
      <xdr:row>42</xdr:row>
      <xdr:rowOff>23813</xdr:rowOff>
    </xdr:to>
    <xdr:cxnSp macro="">
      <xdr:nvCxnSpPr>
        <xdr:cNvPr id="32" name="Straight Arrow Connector 31"/>
        <xdr:cNvCxnSpPr/>
      </xdr:nvCxnSpPr>
      <xdr:spPr>
        <a:xfrm flipH="1">
          <a:off x="9715500" y="4155281"/>
          <a:ext cx="1809751" cy="4024313"/>
        </a:xfrm>
        <a:prstGeom prst="straightConnector1">
          <a:avLst/>
        </a:prstGeom>
        <a:ln w="57150">
          <a:solidFill>
            <a:srgbClr val="FF0000"/>
          </a:solidFill>
          <a:headEnd type="diamond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510569</xdr:colOff>
      <xdr:row>18</xdr:row>
      <xdr:rowOff>86846</xdr:rowOff>
    </xdr:from>
    <xdr:to>
      <xdr:col>25</xdr:col>
      <xdr:colOff>115560</xdr:colOff>
      <xdr:row>21</xdr:row>
      <xdr:rowOff>30818</xdr:rowOff>
    </xdr:to>
    <xdr:sp macro="" textlink="">
      <xdr:nvSpPr>
        <xdr:cNvPr id="34" name="TextBox 33"/>
        <xdr:cNvSpPr txBox="1"/>
      </xdr:nvSpPr>
      <xdr:spPr>
        <a:xfrm>
          <a:off x="11142850" y="3646815"/>
          <a:ext cx="819429" cy="515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rgbClr val="FF0000"/>
              </a:solidFill>
            </a:rPr>
            <a:t>Slant Well</a:t>
          </a:r>
        </a:p>
      </xdr:txBody>
    </xdr:sp>
    <xdr:clientData/>
  </xdr:twoCellAnchor>
  <xdr:twoCellAnchor>
    <xdr:from>
      <xdr:col>44</xdr:col>
      <xdr:colOff>231401</xdr:colOff>
      <xdr:row>24</xdr:row>
      <xdr:rowOff>107576</xdr:rowOff>
    </xdr:from>
    <xdr:to>
      <xdr:col>44</xdr:col>
      <xdr:colOff>377638</xdr:colOff>
      <xdr:row>25</xdr:row>
      <xdr:rowOff>62753</xdr:rowOff>
    </xdr:to>
    <xdr:sp macro="" textlink="">
      <xdr:nvSpPr>
        <xdr:cNvPr id="77" name="Oval 76"/>
        <xdr:cNvSpPr/>
      </xdr:nvSpPr>
      <xdr:spPr>
        <a:xfrm>
          <a:off x="18945225" y="4399429"/>
          <a:ext cx="146237" cy="145677"/>
        </a:xfrm>
        <a:prstGeom prst="ellipse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80683</xdr:colOff>
      <xdr:row>5</xdr:row>
      <xdr:rowOff>78441</xdr:rowOff>
    </xdr:from>
    <xdr:to>
      <xdr:col>29</xdr:col>
      <xdr:colOff>506506</xdr:colOff>
      <xdr:row>6</xdr:row>
      <xdr:rowOff>114300</xdr:rowOff>
    </xdr:to>
    <xdr:grpSp>
      <xdr:nvGrpSpPr>
        <xdr:cNvPr id="39" name="Group 38"/>
        <xdr:cNvGrpSpPr/>
      </xdr:nvGrpSpPr>
      <xdr:grpSpPr>
        <a:xfrm>
          <a:off x="11320183" y="1066660"/>
          <a:ext cx="2604667" cy="226359"/>
          <a:chOff x="9628095" y="1064559"/>
          <a:chExt cx="2599764" cy="226359"/>
        </a:xfrm>
      </xdr:grpSpPr>
      <xdr:cxnSp macro="">
        <xdr:nvCxnSpPr>
          <xdr:cNvPr id="82" name="Straight Arrow Connector 81"/>
          <xdr:cNvCxnSpPr/>
        </xdr:nvCxnSpPr>
        <xdr:spPr>
          <a:xfrm>
            <a:off x="9628095" y="1201271"/>
            <a:ext cx="2599764" cy="0"/>
          </a:xfrm>
          <a:prstGeom prst="straightConnector1">
            <a:avLst/>
          </a:prstGeom>
          <a:ln>
            <a:solidFill>
              <a:schemeClr val="bg1">
                <a:lumMod val="50000"/>
              </a:schemeClr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7" name="TextBox 86"/>
          <xdr:cNvSpPr txBox="1"/>
        </xdr:nvSpPr>
        <xdr:spPr>
          <a:xfrm>
            <a:off x="10692654" y="1064559"/>
            <a:ext cx="528170" cy="2263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660'</a:t>
            </a:r>
          </a:p>
        </xdr:txBody>
      </xdr:sp>
    </xdr:grpSp>
    <xdr:clientData/>
  </xdr:twoCellAnchor>
  <xdr:twoCellAnchor>
    <xdr:from>
      <xdr:col>36</xdr:col>
      <xdr:colOff>53789</xdr:colOff>
      <xdr:row>5</xdr:row>
      <xdr:rowOff>73958</xdr:rowOff>
    </xdr:from>
    <xdr:to>
      <xdr:col>42</xdr:col>
      <xdr:colOff>490817</xdr:colOff>
      <xdr:row>6</xdr:row>
      <xdr:rowOff>109817</xdr:rowOff>
    </xdr:to>
    <xdr:grpSp>
      <xdr:nvGrpSpPr>
        <xdr:cNvPr id="88" name="Group 87"/>
        <xdr:cNvGrpSpPr/>
      </xdr:nvGrpSpPr>
      <xdr:grpSpPr>
        <a:xfrm>
          <a:off x="16865414" y="1062177"/>
          <a:ext cx="3032591" cy="226359"/>
          <a:chOff x="9628095" y="1064559"/>
          <a:chExt cx="2599764" cy="226359"/>
        </a:xfrm>
      </xdr:grpSpPr>
      <xdr:cxnSp macro="">
        <xdr:nvCxnSpPr>
          <xdr:cNvPr id="89" name="Straight Arrow Connector 88"/>
          <xdr:cNvCxnSpPr/>
        </xdr:nvCxnSpPr>
        <xdr:spPr>
          <a:xfrm>
            <a:off x="9628095" y="1201271"/>
            <a:ext cx="2599764" cy="0"/>
          </a:xfrm>
          <a:prstGeom prst="straightConnector1">
            <a:avLst/>
          </a:prstGeom>
          <a:ln>
            <a:solidFill>
              <a:schemeClr val="bg1">
                <a:lumMod val="50000"/>
              </a:schemeClr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TextBox 89"/>
          <xdr:cNvSpPr txBox="1"/>
        </xdr:nvSpPr>
        <xdr:spPr>
          <a:xfrm>
            <a:off x="10692654" y="1064559"/>
            <a:ext cx="391946" cy="2263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580'</a:t>
            </a:r>
          </a:p>
        </xdr:txBody>
      </xdr:sp>
    </xdr:grpSp>
    <xdr:clientData/>
  </xdr:twoCellAnchor>
  <xdr:twoCellAnchor>
    <xdr:from>
      <xdr:col>12</xdr:col>
      <xdr:colOff>94129</xdr:colOff>
      <xdr:row>5</xdr:row>
      <xdr:rowOff>13445</xdr:rowOff>
    </xdr:from>
    <xdr:to>
      <xdr:col>17</xdr:col>
      <xdr:colOff>519952</xdr:colOff>
      <xdr:row>6</xdr:row>
      <xdr:rowOff>49304</xdr:rowOff>
    </xdr:to>
    <xdr:grpSp>
      <xdr:nvGrpSpPr>
        <xdr:cNvPr id="91" name="Group 90"/>
        <xdr:cNvGrpSpPr/>
      </xdr:nvGrpSpPr>
      <xdr:grpSpPr>
        <a:xfrm>
          <a:off x="5761504" y="1001664"/>
          <a:ext cx="2604667" cy="226359"/>
          <a:chOff x="9628095" y="1064559"/>
          <a:chExt cx="2599764" cy="226359"/>
        </a:xfrm>
      </xdr:grpSpPr>
      <xdr:cxnSp macro="">
        <xdr:nvCxnSpPr>
          <xdr:cNvPr id="92" name="Straight Arrow Connector 91"/>
          <xdr:cNvCxnSpPr/>
        </xdr:nvCxnSpPr>
        <xdr:spPr>
          <a:xfrm>
            <a:off x="9628095" y="1201271"/>
            <a:ext cx="2599764" cy="0"/>
          </a:xfrm>
          <a:prstGeom prst="straightConnector1">
            <a:avLst/>
          </a:prstGeom>
          <a:ln>
            <a:solidFill>
              <a:schemeClr val="bg1">
                <a:lumMod val="50000"/>
              </a:schemeClr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3" name="TextBox 92"/>
          <xdr:cNvSpPr txBox="1"/>
        </xdr:nvSpPr>
        <xdr:spPr>
          <a:xfrm>
            <a:off x="10692654" y="1064559"/>
            <a:ext cx="528170" cy="2263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660'</a:t>
            </a:r>
          </a:p>
        </xdr:txBody>
      </xdr:sp>
    </xdr:grpSp>
    <xdr:clientData/>
  </xdr:twoCellAnchor>
  <xdr:twoCellAnchor>
    <xdr:from>
      <xdr:col>27</xdr:col>
      <xdr:colOff>31377</xdr:colOff>
      <xdr:row>9</xdr:row>
      <xdr:rowOff>43645</xdr:rowOff>
    </xdr:from>
    <xdr:to>
      <xdr:col>29</xdr:col>
      <xdr:colOff>549088</xdr:colOff>
      <xdr:row>10</xdr:row>
      <xdr:rowOff>54854</xdr:rowOff>
    </xdr:to>
    <xdr:grpSp>
      <xdr:nvGrpSpPr>
        <xdr:cNvPr id="94" name="Group 93"/>
        <xdr:cNvGrpSpPr/>
      </xdr:nvGrpSpPr>
      <xdr:grpSpPr>
        <a:xfrm>
          <a:off x="12663908" y="1817676"/>
          <a:ext cx="1303524" cy="201709"/>
          <a:chOff x="9628095" y="1073850"/>
          <a:chExt cx="2599764" cy="186905"/>
        </a:xfrm>
      </xdr:grpSpPr>
      <xdr:cxnSp macro="">
        <xdr:nvCxnSpPr>
          <xdr:cNvPr id="95" name="Straight Arrow Connector 94"/>
          <xdr:cNvCxnSpPr/>
        </xdr:nvCxnSpPr>
        <xdr:spPr>
          <a:xfrm>
            <a:off x="9628095" y="1201271"/>
            <a:ext cx="2599764" cy="0"/>
          </a:xfrm>
          <a:prstGeom prst="straightConnector1">
            <a:avLst/>
          </a:prstGeom>
          <a:ln>
            <a:solidFill>
              <a:schemeClr val="bg1">
                <a:lumMod val="50000"/>
              </a:schemeClr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6" name="TextBox 95"/>
          <xdr:cNvSpPr txBox="1"/>
        </xdr:nvSpPr>
        <xdr:spPr>
          <a:xfrm>
            <a:off x="10472741" y="1073850"/>
            <a:ext cx="914011" cy="1869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330'</a:t>
            </a:r>
          </a:p>
        </xdr:txBody>
      </xdr:sp>
    </xdr:grpSp>
    <xdr:clientData/>
  </xdr:twoCellAnchor>
  <xdr:twoCellAnchor>
    <xdr:from>
      <xdr:col>15</xdr:col>
      <xdr:colOff>52399</xdr:colOff>
      <xdr:row>9</xdr:row>
      <xdr:rowOff>25252</xdr:rowOff>
    </xdr:from>
    <xdr:to>
      <xdr:col>17</xdr:col>
      <xdr:colOff>570110</xdr:colOff>
      <xdr:row>10</xdr:row>
      <xdr:rowOff>36461</xdr:rowOff>
    </xdr:to>
    <xdr:grpSp>
      <xdr:nvGrpSpPr>
        <xdr:cNvPr id="97" name="Group 96"/>
        <xdr:cNvGrpSpPr/>
      </xdr:nvGrpSpPr>
      <xdr:grpSpPr>
        <a:xfrm>
          <a:off x="7112805" y="1799283"/>
          <a:ext cx="1303524" cy="201709"/>
          <a:chOff x="9628095" y="1073850"/>
          <a:chExt cx="2599764" cy="186905"/>
        </a:xfrm>
      </xdr:grpSpPr>
      <xdr:cxnSp macro="">
        <xdr:nvCxnSpPr>
          <xdr:cNvPr id="98" name="Straight Arrow Connector 97"/>
          <xdr:cNvCxnSpPr/>
        </xdr:nvCxnSpPr>
        <xdr:spPr>
          <a:xfrm>
            <a:off x="9628095" y="1201271"/>
            <a:ext cx="2599764" cy="0"/>
          </a:xfrm>
          <a:prstGeom prst="straightConnector1">
            <a:avLst/>
          </a:prstGeom>
          <a:ln>
            <a:solidFill>
              <a:schemeClr val="bg1">
                <a:lumMod val="50000"/>
              </a:schemeClr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9" name="TextBox 98"/>
          <xdr:cNvSpPr txBox="1"/>
        </xdr:nvSpPr>
        <xdr:spPr>
          <a:xfrm>
            <a:off x="10472741" y="1073850"/>
            <a:ext cx="914011" cy="1869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330'</a:t>
            </a:r>
          </a:p>
        </xdr:txBody>
      </xdr:sp>
    </xdr:grpSp>
    <xdr:clientData/>
  </xdr:twoCellAnchor>
  <xdr:twoCellAnchor>
    <xdr:from>
      <xdr:col>33</xdr:col>
      <xdr:colOff>44824</xdr:colOff>
      <xdr:row>9</xdr:row>
      <xdr:rowOff>1</xdr:rowOff>
    </xdr:from>
    <xdr:to>
      <xdr:col>42</xdr:col>
      <xdr:colOff>508747</xdr:colOff>
      <xdr:row>10</xdr:row>
      <xdr:rowOff>94130</xdr:rowOff>
    </xdr:to>
    <xdr:grpSp>
      <xdr:nvGrpSpPr>
        <xdr:cNvPr id="100" name="Group 99"/>
        <xdr:cNvGrpSpPr/>
      </xdr:nvGrpSpPr>
      <xdr:grpSpPr>
        <a:xfrm>
          <a:off x="15463418" y="1774032"/>
          <a:ext cx="4452517" cy="284629"/>
          <a:chOff x="9628095" y="1091294"/>
          <a:chExt cx="2599764" cy="226359"/>
        </a:xfrm>
      </xdr:grpSpPr>
      <xdr:cxnSp macro="">
        <xdr:nvCxnSpPr>
          <xdr:cNvPr id="101" name="Straight Arrow Connector 100"/>
          <xdr:cNvCxnSpPr/>
        </xdr:nvCxnSpPr>
        <xdr:spPr>
          <a:xfrm>
            <a:off x="9628095" y="1201271"/>
            <a:ext cx="2599764" cy="0"/>
          </a:xfrm>
          <a:prstGeom prst="straightConnector1">
            <a:avLst/>
          </a:prstGeom>
          <a:ln>
            <a:solidFill>
              <a:schemeClr val="bg1">
                <a:lumMod val="50000"/>
              </a:schemeClr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" name="TextBox 101"/>
          <xdr:cNvSpPr txBox="1"/>
        </xdr:nvSpPr>
        <xdr:spPr>
          <a:xfrm>
            <a:off x="10721669" y="1091294"/>
            <a:ext cx="266953" cy="2263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870'</a:t>
            </a:r>
          </a:p>
        </xdr:txBody>
      </xdr:sp>
    </xdr:grpSp>
    <xdr:clientData/>
  </xdr:twoCellAnchor>
  <xdr:twoCellAnchor>
    <xdr:from>
      <xdr:col>38</xdr:col>
      <xdr:colOff>235324</xdr:colOff>
      <xdr:row>11</xdr:row>
      <xdr:rowOff>78442</xdr:rowOff>
    </xdr:from>
    <xdr:to>
      <xdr:col>41</xdr:col>
      <xdr:colOff>168088</xdr:colOff>
      <xdr:row>43</xdr:row>
      <xdr:rowOff>89647</xdr:rowOff>
    </xdr:to>
    <xdr:sp macro="" textlink="">
      <xdr:nvSpPr>
        <xdr:cNvPr id="42" name="Rectangle 41"/>
        <xdr:cNvSpPr/>
      </xdr:nvSpPr>
      <xdr:spPr>
        <a:xfrm>
          <a:off x="15945971" y="2229971"/>
          <a:ext cx="1490382" cy="61520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515472</xdr:colOff>
      <xdr:row>2</xdr:row>
      <xdr:rowOff>0</xdr:rowOff>
    </xdr:from>
    <xdr:to>
      <xdr:col>14</xdr:col>
      <xdr:colOff>201707</xdr:colOff>
      <xdr:row>10</xdr:row>
      <xdr:rowOff>134471</xdr:rowOff>
    </xdr:to>
    <xdr:sp macro="" textlink="">
      <xdr:nvSpPr>
        <xdr:cNvPr id="7" name="Trapezoid 6"/>
        <xdr:cNvSpPr/>
      </xdr:nvSpPr>
      <xdr:spPr>
        <a:xfrm>
          <a:off x="1725707" y="381000"/>
          <a:ext cx="3249706" cy="1714500"/>
        </a:xfrm>
        <a:prstGeom prst="trapezoid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571501</xdr:colOff>
      <xdr:row>2</xdr:row>
      <xdr:rowOff>51547</xdr:rowOff>
    </xdr:from>
    <xdr:to>
      <xdr:col>14</xdr:col>
      <xdr:colOff>123266</xdr:colOff>
      <xdr:row>10</xdr:row>
      <xdr:rowOff>78441</xdr:rowOff>
    </xdr:to>
    <xdr:sp macro="" textlink="">
      <xdr:nvSpPr>
        <xdr:cNvPr id="105" name="Trapezoid 104"/>
        <xdr:cNvSpPr/>
      </xdr:nvSpPr>
      <xdr:spPr>
        <a:xfrm>
          <a:off x="1781736" y="432547"/>
          <a:ext cx="3115236" cy="1606923"/>
        </a:xfrm>
        <a:prstGeom prst="trapezoid">
          <a:avLst/>
        </a:prstGeom>
        <a:noFill/>
        <a:ln>
          <a:solidFill>
            <a:schemeClr val="accent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434788</xdr:colOff>
      <xdr:row>10</xdr:row>
      <xdr:rowOff>98610</xdr:rowOff>
    </xdr:from>
    <xdr:to>
      <xdr:col>30</xdr:col>
      <xdr:colOff>165847</xdr:colOff>
      <xdr:row>11</xdr:row>
      <xdr:rowOff>121022</xdr:rowOff>
    </xdr:to>
    <xdr:sp macro="" textlink="">
      <xdr:nvSpPr>
        <xdr:cNvPr id="106" name="Isosceles Triangle 105"/>
        <xdr:cNvSpPr/>
      </xdr:nvSpPr>
      <xdr:spPr>
        <a:xfrm>
          <a:off x="12156141" y="2059639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437029</xdr:colOff>
      <xdr:row>10</xdr:row>
      <xdr:rowOff>100853</xdr:rowOff>
    </xdr:from>
    <xdr:to>
      <xdr:col>43</xdr:col>
      <xdr:colOff>168088</xdr:colOff>
      <xdr:row>11</xdr:row>
      <xdr:rowOff>123265</xdr:rowOff>
    </xdr:to>
    <xdr:sp macro="" textlink="">
      <xdr:nvSpPr>
        <xdr:cNvPr id="107" name="Isosceles Triangle 106"/>
        <xdr:cNvSpPr/>
      </xdr:nvSpPr>
      <xdr:spPr>
        <a:xfrm>
          <a:off x="17940617" y="2061882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432547</xdr:colOff>
      <xdr:row>7</xdr:row>
      <xdr:rowOff>186017</xdr:rowOff>
    </xdr:from>
    <xdr:to>
      <xdr:col>43</xdr:col>
      <xdr:colOff>163606</xdr:colOff>
      <xdr:row>9</xdr:row>
      <xdr:rowOff>6724</xdr:rowOff>
    </xdr:to>
    <xdr:sp macro="" textlink="">
      <xdr:nvSpPr>
        <xdr:cNvPr id="108" name="Isosceles Triangle 107"/>
        <xdr:cNvSpPr/>
      </xdr:nvSpPr>
      <xdr:spPr>
        <a:xfrm>
          <a:off x="17936135" y="1564341"/>
          <a:ext cx="336177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5043</xdr:colOff>
      <xdr:row>21</xdr:row>
      <xdr:rowOff>162626</xdr:rowOff>
    </xdr:from>
    <xdr:to>
      <xdr:col>24</xdr:col>
      <xdr:colOff>343321</xdr:colOff>
      <xdr:row>22</xdr:row>
      <xdr:rowOff>185038</xdr:rowOff>
    </xdr:to>
    <xdr:sp macro="" textlink="">
      <xdr:nvSpPr>
        <xdr:cNvPr id="109" name="Isosceles Triangle 108"/>
        <xdr:cNvSpPr/>
      </xdr:nvSpPr>
      <xdr:spPr>
        <a:xfrm rot="1676914">
          <a:off x="11244543" y="4294095"/>
          <a:ext cx="338278" cy="212912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18</xdr:col>
      <xdr:colOff>369794</xdr:colOff>
      <xdr:row>1</xdr:row>
      <xdr:rowOff>134471</xdr:rowOff>
    </xdr:from>
    <xdr:to>
      <xdr:col>38</xdr:col>
      <xdr:colOff>134471</xdr:colOff>
      <xdr:row>11</xdr:row>
      <xdr:rowOff>22412</xdr:rowOff>
    </xdr:to>
    <xdr:sp macro="" textlink="">
      <xdr:nvSpPr>
        <xdr:cNvPr id="24" name="Parallelogram 23"/>
        <xdr:cNvSpPr/>
      </xdr:nvSpPr>
      <xdr:spPr>
        <a:xfrm>
          <a:off x="7138147" y="324971"/>
          <a:ext cx="8706971" cy="1848970"/>
        </a:xfrm>
        <a:prstGeom prst="parallelogram">
          <a:avLst/>
        </a:prstGeom>
        <a:noFill/>
        <a:ln>
          <a:solidFill>
            <a:schemeClr val="accent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410136</xdr:colOff>
      <xdr:row>1</xdr:row>
      <xdr:rowOff>174812</xdr:rowOff>
    </xdr:from>
    <xdr:to>
      <xdr:col>38</xdr:col>
      <xdr:colOff>78442</xdr:colOff>
      <xdr:row>10</xdr:row>
      <xdr:rowOff>179295</xdr:rowOff>
    </xdr:to>
    <xdr:sp macro="" textlink="">
      <xdr:nvSpPr>
        <xdr:cNvPr id="103" name="Parallelogram 102"/>
        <xdr:cNvSpPr/>
      </xdr:nvSpPr>
      <xdr:spPr>
        <a:xfrm>
          <a:off x="7178489" y="365312"/>
          <a:ext cx="8610600" cy="1775012"/>
        </a:xfrm>
        <a:prstGeom prst="parallelogram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96371</xdr:colOff>
      <xdr:row>1</xdr:row>
      <xdr:rowOff>29135</xdr:rowOff>
    </xdr:from>
    <xdr:to>
      <xdr:col>44</xdr:col>
      <xdr:colOff>129988</xdr:colOff>
      <xdr:row>6</xdr:row>
      <xdr:rowOff>96370</xdr:rowOff>
    </xdr:to>
    <xdr:sp macro="" textlink="">
      <xdr:nvSpPr>
        <xdr:cNvPr id="104" name="Oval 103"/>
        <xdr:cNvSpPr/>
      </xdr:nvSpPr>
      <xdr:spPr>
        <a:xfrm>
          <a:off x="17364636" y="219635"/>
          <a:ext cx="1479176" cy="1053353"/>
        </a:xfrm>
        <a:prstGeom prst="ellipse">
          <a:avLst/>
        </a:prstGeom>
        <a:noFill/>
        <a:ln w="28575">
          <a:solidFill>
            <a:srgbClr val="FFC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403622</xdr:colOff>
      <xdr:row>20</xdr:row>
      <xdr:rowOff>123264</xdr:rowOff>
    </xdr:from>
    <xdr:to>
      <xdr:col>32</xdr:col>
      <xdr:colOff>134471</xdr:colOff>
      <xdr:row>21</xdr:row>
      <xdr:rowOff>168089</xdr:rowOff>
    </xdr:to>
    <xdr:sp macro="" textlink="">
      <xdr:nvSpPr>
        <xdr:cNvPr id="111" name="TextBox 110"/>
        <xdr:cNvSpPr txBox="1"/>
      </xdr:nvSpPr>
      <xdr:spPr>
        <a:xfrm>
          <a:off x="12730093" y="4034117"/>
          <a:ext cx="515260" cy="235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170A</a:t>
          </a:r>
        </a:p>
      </xdr:txBody>
    </xdr:sp>
    <xdr:clientData/>
  </xdr:twoCellAnchor>
  <xdr:twoCellAnchor>
    <xdr:from>
      <xdr:col>30</xdr:col>
      <xdr:colOff>421552</xdr:colOff>
      <xdr:row>30</xdr:row>
      <xdr:rowOff>118782</xdr:rowOff>
    </xdr:from>
    <xdr:to>
      <xdr:col>32</xdr:col>
      <xdr:colOff>152401</xdr:colOff>
      <xdr:row>31</xdr:row>
      <xdr:rowOff>163607</xdr:rowOff>
    </xdr:to>
    <xdr:sp macro="" textlink="">
      <xdr:nvSpPr>
        <xdr:cNvPr id="112" name="TextBox 111"/>
        <xdr:cNvSpPr txBox="1"/>
      </xdr:nvSpPr>
      <xdr:spPr>
        <a:xfrm>
          <a:off x="12748023" y="5934635"/>
          <a:ext cx="515260" cy="235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170I</a:t>
          </a:r>
        </a:p>
      </xdr:txBody>
    </xdr:sp>
    <xdr:clientData/>
  </xdr:twoCellAnchor>
  <xdr:twoCellAnchor>
    <xdr:from>
      <xdr:col>30</xdr:col>
      <xdr:colOff>405864</xdr:colOff>
      <xdr:row>35</xdr:row>
      <xdr:rowOff>125506</xdr:rowOff>
    </xdr:from>
    <xdr:to>
      <xdr:col>32</xdr:col>
      <xdr:colOff>136713</xdr:colOff>
      <xdr:row>36</xdr:row>
      <xdr:rowOff>170331</xdr:rowOff>
    </xdr:to>
    <xdr:sp macro="" textlink="">
      <xdr:nvSpPr>
        <xdr:cNvPr id="113" name="TextBox 112"/>
        <xdr:cNvSpPr txBox="1"/>
      </xdr:nvSpPr>
      <xdr:spPr>
        <a:xfrm>
          <a:off x="12732335" y="6893859"/>
          <a:ext cx="515260" cy="235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170P</a:t>
          </a:r>
        </a:p>
      </xdr:txBody>
    </xdr:sp>
    <xdr:clientData/>
  </xdr:twoCellAnchor>
  <xdr:twoCellAnchor>
    <xdr:from>
      <xdr:col>18</xdr:col>
      <xdr:colOff>448446</xdr:colOff>
      <xdr:row>24</xdr:row>
      <xdr:rowOff>145676</xdr:rowOff>
    </xdr:from>
    <xdr:to>
      <xdr:col>20</xdr:col>
      <xdr:colOff>179294</xdr:colOff>
      <xdr:row>26</xdr:row>
      <xdr:rowOff>1</xdr:rowOff>
    </xdr:to>
    <xdr:sp macro="" textlink="">
      <xdr:nvSpPr>
        <xdr:cNvPr id="114" name="TextBox 113"/>
        <xdr:cNvSpPr txBox="1"/>
      </xdr:nvSpPr>
      <xdr:spPr>
        <a:xfrm>
          <a:off x="7216799" y="4818529"/>
          <a:ext cx="515260" cy="235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170G</a:t>
          </a:r>
        </a:p>
      </xdr:txBody>
    </xdr:sp>
    <xdr:clientData/>
  </xdr:twoCellAnchor>
  <xdr:twoCellAnchor>
    <xdr:from>
      <xdr:col>44</xdr:col>
      <xdr:colOff>36070</xdr:colOff>
      <xdr:row>22</xdr:row>
      <xdr:rowOff>181535</xdr:rowOff>
    </xdr:from>
    <xdr:to>
      <xdr:col>44</xdr:col>
      <xdr:colOff>551330</xdr:colOff>
      <xdr:row>24</xdr:row>
      <xdr:rowOff>35860</xdr:rowOff>
    </xdr:to>
    <xdr:sp macro="" textlink="">
      <xdr:nvSpPr>
        <xdr:cNvPr id="110" name="TextBox 109"/>
        <xdr:cNvSpPr txBox="1"/>
      </xdr:nvSpPr>
      <xdr:spPr>
        <a:xfrm>
          <a:off x="18749894" y="4473388"/>
          <a:ext cx="515260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159E</a:t>
          </a:r>
        </a:p>
      </xdr:txBody>
    </xdr:sp>
    <xdr:clientData/>
  </xdr:twoCellAnchor>
  <xdr:twoCellAnchor>
    <xdr:from>
      <xdr:col>13</xdr:col>
      <xdr:colOff>6724</xdr:colOff>
      <xdr:row>34</xdr:row>
      <xdr:rowOff>17930</xdr:rowOff>
    </xdr:from>
    <xdr:to>
      <xdr:col>15</xdr:col>
      <xdr:colOff>466165</xdr:colOff>
      <xdr:row>39</xdr:row>
      <xdr:rowOff>40341</xdr:rowOff>
    </xdr:to>
    <xdr:cxnSp macro="">
      <xdr:nvCxnSpPr>
        <xdr:cNvPr id="117" name="Straight Connector 116"/>
        <xdr:cNvCxnSpPr/>
      </xdr:nvCxnSpPr>
      <xdr:spPr>
        <a:xfrm flipH="1">
          <a:off x="4601136" y="6595783"/>
          <a:ext cx="1243853" cy="974911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504266</xdr:colOff>
      <xdr:row>41</xdr:row>
      <xdr:rowOff>25036</xdr:rowOff>
    </xdr:from>
    <xdr:to>
      <xdr:col>40</xdr:col>
      <xdr:colOff>123267</xdr:colOff>
      <xdr:row>42</xdr:row>
      <xdr:rowOff>159122</xdr:rowOff>
    </xdr:to>
    <xdr:grpSp>
      <xdr:nvGrpSpPr>
        <xdr:cNvPr id="51" name="Group 50"/>
        <xdr:cNvGrpSpPr/>
      </xdr:nvGrpSpPr>
      <xdr:grpSpPr>
        <a:xfrm>
          <a:off x="18458891" y="8109380"/>
          <a:ext cx="226220" cy="324586"/>
          <a:chOff x="16004241" y="8193741"/>
          <a:chExt cx="1624853" cy="2353235"/>
        </a:xfrm>
      </xdr:grpSpPr>
      <xdr:cxnSp macro="">
        <xdr:nvCxnSpPr>
          <xdr:cNvPr id="118" name="Straight Connector 117"/>
          <xdr:cNvCxnSpPr/>
        </xdr:nvCxnSpPr>
        <xdr:spPr>
          <a:xfrm>
            <a:off x="16004241" y="8193741"/>
            <a:ext cx="1624853" cy="2353235"/>
          </a:xfrm>
          <a:prstGeom prst="line">
            <a:avLst/>
          </a:prstGeom>
          <a:ln w="57150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Straight Connector 118"/>
          <xdr:cNvCxnSpPr/>
        </xdr:nvCxnSpPr>
        <xdr:spPr>
          <a:xfrm flipH="1">
            <a:off x="16049065" y="8798859"/>
            <a:ext cx="1243853" cy="974911"/>
          </a:xfrm>
          <a:prstGeom prst="line">
            <a:avLst/>
          </a:prstGeom>
          <a:ln w="57150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567018</xdr:colOff>
      <xdr:row>30</xdr:row>
      <xdr:rowOff>174812</xdr:rowOff>
    </xdr:from>
    <xdr:to>
      <xdr:col>17</xdr:col>
      <xdr:colOff>17930</xdr:colOff>
      <xdr:row>43</xdr:row>
      <xdr:rowOff>51547</xdr:rowOff>
    </xdr:to>
    <xdr:cxnSp macro="">
      <xdr:nvCxnSpPr>
        <xdr:cNvPr id="116" name="Straight Connector 115"/>
        <xdr:cNvCxnSpPr/>
      </xdr:nvCxnSpPr>
      <xdr:spPr>
        <a:xfrm>
          <a:off x="4556312" y="5990665"/>
          <a:ext cx="1624853" cy="235323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398940</xdr:colOff>
      <xdr:row>24</xdr:row>
      <xdr:rowOff>168088</xdr:rowOff>
    </xdr:from>
    <xdr:to>
      <xdr:col>15</xdr:col>
      <xdr:colOff>454971</xdr:colOff>
      <xdr:row>36</xdr:row>
      <xdr:rowOff>85165</xdr:rowOff>
    </xdr:to>
    <xdr:sp macro="" textlink="">
      <xdr:nvSpPr>
        <xdr:cNvPr id="59" name="TextBox 58"/>
        <xdr:cNvSpPr txBox="1"/>
      </xdr:nvSpPr>
      <xdr:spPr>
        <a:xfrm rot="16200000">
          <a:off x="4558565" y="5645522"/>
          <a:ext cx="2225488" cy="66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effectLst>
                <a:glow rad="127000">
                  <a:schemeClr val="accent2">
                    <a:lumMod val="60000"/>
                    <a:lumOff val="40000"/>
                  </a:schemeClr>
                </a:glow>
              </a:effectLst>
            </a:rPr>
            <a:t>GEOPHONES  - Hz</a:t>
          </a:r>
          <a:endParaRPr lang="en-US" sz="1800" b="1" i="1">
            <a:solidFill>
              <a:sysClr val="windowText" lastClr="000000"/>
            </a:solidFill>
            <a:effectLst>
              <a:glow rad="127000">
                <a:schemeClr val="accent2">
                  <a:lumMod val="60000"/>
                  <a:lumOff val="40000"/>
                </a:schemeClr>
              </a:glow>
            </a:effectLst>
          </a:endParaRPr>
        </a:p>
      </xdr:txBody>
    </xdr:sp>
    <xdr:clientData/>
  </xdr:twoCellAnchor>
  <xdr:twoCellAnchor>
    <xdr:from>
      <xdr:col>15</xdr:col>
      <xdr:colOff>449293</xdr:colOff>
      <xdr:row>12</xdr:row>
      <xdr:rowOff>143774</xdr:rowOff>
    </xdr:from>
    <xdr:to>
      <xdr:col>15</xdr:col>
      <xdr:colOff>449293</xdr:colOff>
      <xdr:row>47</xdr:row>
      <xdr:rowOff>125802</xdr:rowOff>
    </xdr:to>
    <xdr:cxnSp macro="">
      <xdr:nvCxnSpPr>
        <xdr:cNvPr id="26" name="Straight Arrow Connector 25"/>
        <xdr:cNvCxnSpPr/>
      </xdr:nvCxnSpPr>
      <xdr:spPr>
        <a:xfrm>
          <a:off x="5876746" y="2516038"/>
          <a:ext cx="0" cy="6505755"/>
        </a:xfrm>
        <a:prstGeom prst="straightConnector1">
          <a:avLst/>
        </a:prstGeom>
        <a:ln w="28575">
          <a:solidFill>
            <a:sysClr val="windowText" lastClr="000000"/>
          </a:solidFill>
          <a:headEnd type="arrow"/>
          <a:tailEnd type="arrow"/>
        </a:ln>
        <a:effectLst>
          <a:glow rad="127000">
            <a:schemeClr val="accent2">
              <a:lumMod val="60000"/>
              <a:lumOff val="40000"/>
              <a:alpha val="48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112058</xdr:colOff>
      <xdr:row>18</xdr:row>
      <xdr:rowOff>1</xdr:rowOff>
    </xdr:from>
    <xdr:to>
      <xdr:col>17</xdr:col>
      <xdr:colOff>168088</xdr:colOff>
      <xdr:row>30</xdr:row>
      <xdr:rowOff>56030</xdr:rowOff>
    </xdr:to>
    <xdr:cxnSp macro="">
      <xdr:nvCxnSpPr>
        <xdr:cNvPr id="33" name="Straight Connector 32"/>
        <xdr:cNvCxnSpPr/>
      </xdr:nvCxnSpPr>
      <xdr:spPr>
        <a:xfrm>
          <a:off x="4706470" y="3518648"/>
          <a:ext cx="1624853" cy="235323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156882</xdr:colOff>
      <xdr:row>21</xdr:row>
      <xdr:rowOff>22413</xdr:rowOff>
    </xdr:from>
    <xdr:to>
      <xdr:col>16</xdr:col>
      <xdr:colOff>11206</xdr:colOff>
      <xdr:row>26</xdr:row>
      <xdr:rowOff>44824</xdr:rowOff>
    </xdr:to>
    <xdr:cxnSp macro="">
      <xdr:nvCxnSpPr>
        <xdr:cNvPr id="115" name="Straight Connector 114"/>
        <xdr:cNvCxnSpPr/>
      </xdr:nvCxnSpPr>
      <xdr:spPr>
        <a:xfrm flipH="1">
          <a:off x="4751294" y="4123766"/>
          <a:ext cx="1243853" cy="974911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131082</xdr:colOff>
      <xdr:row>0</xdr:row>
      <xdr:rowOff>134471</xdr:rowOff>
    </xdr:from>
    <xdr:ext cx="939103" cy="468013"/>
    <xdr:sp macro="" textlink="">
      <xdr:nvSpPr>
        <xdr:cNvPr id="27" name="Rectangle 26"/>
        <xdr:cNvSpPr/>
      </xdr:nvSpPr>
      <xdr:spPr>
        <a:xfrm>
          <a:off x="3515258" y="134471"/>
          <a:ext cx="939103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sz="24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SAND</a:t>
          </a:r>
        </a:p>
      </xdr:txBody>
    </xdr:sp>
    <xdr:clientData/>
  </xdr:oneCellAnchor>
  <xdr:twoCellAnchor>
    <xdr:from>
      <xdr:col>35</xdr:col>
      <xdr:colOff>437030</xdr:colOff>
      <xdr:row>10</xdr:row>
      <xdr:rowOff>100853</xdr:rowOff>
    </xdr:from>
    <xdr:to>
      <xdr:col>36</xdr:col>
      <xdr:colOff>168089</xdr:colOff>
      <xdr:row>11</xdr:row>
      <xdr:rowOff>123265</xdr:rowOff>
    </xdr:to>
    <xdr:sp macro="" textlink="">
      <xdr:nvSpPr>
        <xdr:cNvPr id="120" name="Isosceles Triangle 119"/>
        <xdr:cNvSpPr/>
      </xdr:nvSpPr>
      <xdr:spPr>
        <a:xfrm>
          <a:off x="16641436" y="2065384"/>
          <a:ext cx="338278" cy="224819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444454</xdr:colOff>
      <xdr:row>10</xdr:row>
      <xdr:rowOff>78861</xdr:rowOff>
    </xdr:from>
    <xdr:to>
      <xdr:col>33</xdr:col>
      <xdr:colOff>175513</xdr:colOff>
      <xdr:row>11</xdr:row>
      <xdr:rowOff>90067</xdr:rowOff>
    </xdr:to>
    <xdr:sp macro="" textlink="">
      <xdr:nvSpPr>
        <xdr:cNvPr id="121" name="Isosceles Triangle 120"/>
        <xdr:cNvSpPr/>
      </xdr:nvSpPr>
      <xdr:spPr>
        <a:xfrm>
          <a:off x="15255829" y="2043392"/>
          <a:ext cx="338278" cy="213613"/>
        </a:xfrm>
        <a:prstGeom prst="triangle">
          <a:avLst/>
        </a:prstGeom>
        <a:ln>
          <a:solidFill>
            <a:srgbClr val="0070C0"/>
          </a:solidFill>
          <a:prstDash val="dashDot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23813</xdr:colOff>
      <xdr:row>5</xdr:row>
      <xdr:rowOff>130968</xdr:rowOff>
    </xdr:from>
    <xdr:to>
      <xdr:col>6</xdr:col>
      <xdr:colOff>0</xdr:colOff>
      <xdr:row>6</xdr:row>
      <xdr:rowOff>130967</xdr:rowOff>
    </xdr:to>
    <xdr:grpSp>
      <xdr:nvGrpSpPr>
        <xdr:cNvPr id="126" name="Group 125"/>
        <xdr:cNvGrpSpPr/>
      </xdr:nvGrpSpPr>
      <xdr:grpSpPr>
        <a:xfrm>
          <a:off x="904876" y="1119187"/>
          <a:ext cx="1976437" cy="190499"/>
          <a:chOff x="9628095" y="1064559"/>
          <a:chExt cx="2599764" cy="226359"/>
        </a:xfrm>
      </xdr:grpSpPr>
      <xdr:cxnSp macro="">
        <xdr:nvCxnSpPr>
          <xdr:cNvPr id="127" name="Straight Arrow Connector 126"/>
          <xdr:cNvCxnSpPr/>
        </xdr:nvCxnSpPr>
        <xdr:spPr>
          <a:xfrm>
            <a:off x="9628095" y="1201271"/>
            <a:ext cx="2599764" cy="0"/>
          </a:xfrm>
          <a:prstGeom prst="straightConnector1">
            <a:avLst/>
          </a:prstGeom>
          <a:ln>
            <a:solidFill>
              <a:schemeClr val="bg1">
                <a:lumMod val="50000"/>
              </a:schemeClr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8" name="TextBox 127"/>
          <xdr:cNvSpPr txBox="1"/>
        </xdr:nvSpPr>
        <xdr:spPr>
          <a:xfrm>
            <a:off x="10692654" y="1064559"/>
            <a:ext cx="528170" cy="2263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875'</a:t>
            </a:r>
          </a:p>
        </xdr:txBody>
      </xdr:sp>
    </xdr:grpSp>
    <xdr:clientData/>
  </xdr:twoCellAnchor>
  <xdr:twoCellAnchor>
    <xdr:from>
      <xdr:col>1</xdr:col>
      <xdr:colOff>604838</xdr:colOff>
      <xdr:row>9</xdr:row>
      <xdr:rowOff>92874</xdr:rowOff>
    </xdr:from>
    <xdr:to>
      <xdr:col>8</xdr:col>
      <xdr:colOff>595313</xdr:colOff>
      <xdr:row>10</xdr:row>
      <xdr:rowOff>119065</xdr:rowOff>
    </xdr:to>
    <xdr:grpSp>
      <xdr:nvGrpSpPr>
        <xdr:cNvPr id="129" name="Group 128"/>
        <xdr:cNvGrpSpPr/>
      </xdr:nvGrpSpPr>
      <xdr:grpSpPr>
        <a:xfrm>
          <a:off x="878682" y="1866905"/>
          <a:ext cx="3383756" cy="216691"/>
          <a:chOff x="9628095" y="1130667"/>
          <a:chExt cx="2599764" cy="150393"/>
        </a:xfrm>
      </xdr:grpSpPr>
      <xdr:cxnSp macro="">
        <xdr:nvCxnSpPr>
          <xdr:cNvPr id="130" name="Straight Arrow Connector 129"/>
          <xdr:cNvCxnSpPr/>
        </xdr:nvCxnSpPr>
        <xdr:spPr>
          <a:xfrm>
            <a:off x="9628095" y="1201271"/>
            <a:ext cx="2599764" cy="0"/>
          </a:xfrm>
          <a:prstGeom prst="straightConnector1">
            <a:avLst/>
          </a:prstGeom>
          <a:ln>
            <a:solidFill>
              <a:schemeClr val="bg1">
                <a:lumMod val="50000"/>
              </a:schemeClr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" name="TextBox 130"/>
          <xdr:cNvSpPr txBox="1"/>
        </xdr:nvSpPr>
        <xdr:spPr>
          <a:xfrm>
            <a:off x="10610326" y="1130667"/>
            <a:ext cx="391748" cy="1503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1200'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S74"/>
  <sheetViews>
    <sheetView showGridLines="0" tabSelected="1" zoomScale="80" zoomScaleNormal="80" workbookViewId="0">
      <selection activeCell="AN47" sqref="AN47"/>
    </sheetView>
  </sheetViews>
  <sheetFormatPr defaultRowHeight="15" x14ac:dyDescent="0.25"/>
  <cols>
    <col min="1" max="1" width="4.140625" style="25" customWidth="1"/>
    <col min="2" max="3" width="9.140625" style="25"/>
    <col min="5" max="5" width="2.7109375" style="25" customWidth="1"/>
    <col min="8" max="8" width="2.7109375" customWidth="1"/>
    <col min="11" max="11" width="2.7109375" customWidth="1"/>
    <col min="14" max="14" width="2.7109375" customWidth="1"/>
    <col min="17" max="17" width="2.7109375" customWidth="1"/>
    <col min="20" max="20" width="2.7109375" customWidth="1"/>
    <col min="23" max="23" width="2.7109375" customWidth="1"/>
    <col min="26" max="26" width="2.7109375" customWidth="1"/>
    <col min="29" max="29" width="2.7109375" customWidth="1"/>
    <col min="32" max="32" width="2.7109375" customWidth="1"/>
    <col min="35" max="35" width="2.7109375" customWidth="1"/>
    <col min="38" max="38" width="2.7109375" style="25" customWidth="1"/>
    <col min="39" max="39" width="5.28515625" customWidth="1"/>
    <col min="40" max="40" width="9.140625" style="25" customWidth="1"/>
    <col min="41" max="41" width="9.140625" style="25"/>
    <col min="42" max="42" width="3.5703125" style="25" customWidth="1"/>
    <col min="43" max="43" width="9.140625" style="25"/>
    <col min="45" max="45" width="7.5703125" customWidth="1"/>
  </cols>
  <sheetData>
    <row r="1" spans="1:45" x14ac:dyDescent="0.25">
      <c r="A1" s="25" t="s">
        <v>39</v>
      </c>
    </row>
    <row r="2" spans="1:45" x14ac:dyDescent="0.25">
      <c r="B2" s="37"/>
      <c r="C2" s="37"/>
      <c r="AO2" s="37"/>
      <c r="AP2" s="37"/>
      <c r="AQ2" s="37"/>
      <c r="AR2" s="37"/>
      <c r="AS2" s="37"/>
    </row>
    <row r="3" spans="1:45" ht="15.75" customHeight="1" thickBot="1" x14ac:dyDescent="0.3">
      <c r="B3" s="104"/>
      <c r="C3" s="104"/>
      <c r="AO3" s="37"/>
      <c r="AP3" s="37"/>
      <c r="AQ3" s="104" t="s">
        <v>31</v>
      </c>
      <c r="AR3" s="104"/>
      <c r="AS3" s="37"/>
    </row>
    <row r="4" spans="1:45" ht="15.75" thickBot="1" x14ac:dyDescent="0.3">
      <c r="B4" s="105" t="s">
        <v>38</v>
      </c>
      <c r="C4" s="106"/>
      <c r="F4" s="109" t="s">
        <v>9</v>
      </c>
      <c r="G4" s="110"/>
      <c r="I4" s="123"/>
      <c r="J4" s="123"/>
      <c r="L4" s="109" t="s">
        <v>7</v>
      </c>
      <c r="M4" s="110"/>
      <c r="O4" s="123"/>
      <c r="P4" s="123"/>
      <c r="R4" s="116" t="s">
        <v>5</v>
      </c>
      <c r="S4" s="117"/>
      <c r="U4" s="123"/>
      <c r="V4" s="123"/>
      <c r="X4" s="116" t="s">
        <v>3</v>
      </c>
      <c r="Y4" s="117"/>
      <c r="AA4" s="123"/>
      <c r="AB4" s="123"/>
      <c r="AD4" s="118" t="s">
        <v>2</v>
      </c>
      <c r="AE4" s="119"/>
      <c r="AG4" s="123"/>
      <c r="AH4" s="123"/>
      <c r="AJ4" s="118" t="s">
        <v>1</v>
      </c>
      <c r="AK4" s="119"/>
      <c r="AL4" s="73"/>
      <c r="AO4" s="37"/>
      <c r="AP4" s="37"/>
      <c r="AQ4" s="105" t="s">
        <v>35</v>
      </c>
      <c r="AR4" s="106"/>
      <c r="AS4" s="37"/>
    </row>
    <row r="5" spans="1:45" ht="15.75" thickBot="1" x14ac:dyDescent="0.3">
      <c r="B5" s="107"/>
      <c r="C5" s="108"/>
      <c r="AO5" s="37"/>
      <c r="AP5" s="37"/>
      <c r="AQ5" s="107"/>
      <c r="AR5" s="108"/>
      <c r="AS5" s="37"/>
    </row>
    <row r="6" spans="1:45" x14ac:dyDescent="0.25">
      <c r="C6" s="11"/>
      <c r="G6" s="11"/>
      <c r="M6" s="11"/>
      <c r="S6" s="11"/>
      <c r="Y6" s="11"/>
      <c r="AE6" s="11"/>
      <c r="AK6" s="11"/>
      <c r="AL6" s="1"/>
      <c r="AR6" s="11"/>
    </row>
    <row r="7" spans="1:45" ht="15.75" thickBot="1" x14ac:dyDescent="0.3">
      <c r="C7" s="11"/>
      <c r="G7" s="11"/>
      <c r="M7" s="11"/>
      <c r="O7" s="104" t="s">
        <v>34</v>
      </c>
      <c r="P7" s="104"/>
      <c r="S7" s="11"/>
      <c r="Y7" s="11"/>
      <c r="AE7" s="11"/>
      <c r="AK7" s="11"/>
      <c r="AL7" s="1"/>
      <c r="AR7" s="11"/>
    </row>
    <row r="8" spans="1:45" ht="15.75" thickBot="1" x14ac:dyDescent="0.3">
      <c r="C8" s="11"/>
      <c r="G8" s="11"/>
      <c r="I8" s="121" t="s">
        <v>8</v>
      </c>
      <c r="J8" s="122"/>
      <c r="M8" s="11"/>
      <c r="O8" s="121" t="s">
        <v>6</v>
      </c>
      <c r="P8" s="122"/>
      <c r="S8" s="11"/>
      <c r="U8" s="116" t="s">
        <v>4</v>
      </c>
      <c r="V8" s="117"/>
      <c r="Y8" s="11"/>
      <c r="AA8" s="114" t="s">
        <v>26</v>
      </c>
      <c r="AB8" s="115"/>
      <c r="AE8" s="11"/>
      <c r="AG8" s="114" t="s">
        <v>0</v>
      </c>
      <c r="AH8" s="115"/>
      <c r="AK8" s="11"/>
      <c r="AL8" s="1"/>
      <c r="AR8" s="11"/>
    </row>
    <row r="9" spans="1:45" x14ac:dyDescent="0.25">
      <c r="C9" s="11"/>
      <c r="G9" s="11"/>
      <c r="J9" s="1"/>
      <c r="M9" s="11"/>
      <c r="P9" s="1"/>
      <c r="S9" s="11"/>
      <c r="V9" s="1"/>
      <c r="Y9" s="11"/>
      <c r="AB9" s="1"/>
      <c r="AE9" s="11"/>
      <c r="AH9" s="1"/>
      <c r="AK9" s="11"/>
      <c r="AL9" s="1"/>
      <c r="AR9" s="11"/>
    </row>
    <row r="10" spans="1:45" x14ac:dyDescent="0.25">
      <c r="C10" s="11"/>
      <c r="G10" s="11"/>
      <c r="J10" s="11"/>
      <c r="M10" s="11"/>
      <c r="P10" s="11"/>
      <c r="S10" s="11"/>
      <c r="V10" s="11"/>
      <c r="Y10" s="11"/>
      <c r="AB10" s="11"/>
      <c r="AE10" s="11"/>
      <c r="AH10" s="11"/>
      <c r="AK10" s="11"/>
      <c r="AL10" s="1"/>
      <c r="AR10" s="11"/>
    </row>
    <row r="11" spans="1:45" ht="15.75" thickBot="1" x14ac:dyDescent="0.3">
      <c r="C11" s="11"/>
      <c r="F11" s="10"/>
      <c r="G11" s="12"/>
      <c r="H11" s="10"/>
      <c r="I11" s="10"/>
      <c r="J11" s="12"/>
      <c r="K11" s="10"/>
      <c r="L11" s="10"/>
      <c r="M11" s="12"/>
      <c r="N11" s="10"/>
      <c r="O11" s="10"/>
      <c r="P11" s="12"/>
      <c r="Q11" s="10"/>
      <c r="R11" s="10"/>
      <c r="S11" s="12"/>
      <c r="T11" s="10"/>
      <c r="U11" s="10"/>
      <c r="V11" s="12"/>
      <c r="W11" s="10"/>
      <c r="X11" s="10"/>
      <c r="Y11" s="12"/>
      <c r="Z11" s="10"/>
      <c r="AA11" s="10"/>
      <c r="AB11" s="12"/>
      <c r="AC11" s="10"/>
      <c r="AD11" s="10"/>
      <c r="AE11" s="12"/>
      <c r="AF11" s="10"/>
      <c r="AG11" s="10"/>
      <c r="AH11" s="12"/>
      <c r="AI11" s="10"/>
      <c r="AJ11" s="10"/>
      <c r="AK11" s="12"/>
      <c r="AL11" s="32"/>
      <c r="AR11" s="11"/>
    </row>
    <row r="12" spans="1:45" ht="16.5" thickTop="1" thickBot="1" x14ac:dyDescent="0.3">
      <c r="C12" s="11"/>
      <c r="D12" s="16" t="s">
        <v>10</v>
      </c>
      <c r="E12" s="51"/>
      <c r="F12" s="52"/>
      <c r="G12" s="53"/>
      <c r="H12" s="52"/>
      <c r="I12" s="52"/>
      <c r="J12" s="53"/>
      <c r="K12" s="52"/>
      <c r="L12" s="52"/>
      <c r="M12" s="53"/>
      <c r="N12" s="52"/>
      <c r="O12" s="52"/>
      <c r="P12" s="53"/>
      <c r="Q12" s="52"/>
      <c r="R12" s="52"/>
      <c r="S12" s="53"/>
      <c r="T12" s="52"/>
      <c r="U12" s="52"/>
      <c r="V12" s="53"/>
      <c r="W12" s="52"/>
      <c r="X12" s="52"/>
      <c r="Y12" s="53"/>
      <c r="Z12" s="52"/>
      <c r="AA12" s="52"/>
      <c r="AB12" s="53"/>
      <c r="AC12" s="52"/>
      <c r="AD12" s="52"/>
      <c r="AE12" s="53"/>
      <c r="AF12" s="52"/>
      <c r="AG12" s="52"/>
      <c r="AH12" s="53"/>
      <c r="AI12" s="52"/>
      <c r="AJ12" s="52"/>
      <c r="AK12" s="53"/>
      <c r="AL12" s="57"/>
      <c r="AR12" s="11"/>
    </row>
    <row r="13" spans="1:45" ht="15.75" thickBot="1" x14ac:dyDescent="0.3">
      <c r="B13" s="62"/>
      <c r="D13" s="15">
        <f t="shared" ref="D13:D15" si="0">1+D14</f>
        <v>37</v>
      </c>
      <c r="E13" s="54"/>
      <c r="F13" s="6">
        <f t="shared" ref="F13:F15" si="1">F14+2</f>
        <v>69</v>
      </c>
      <c r="G13" s="7"/>
      <c r="H13" s="48"/>
      <c r="I13" s="13">
        <f t="shared" ref="I13:I15" si="2">I14+1</f>
        <v>37</v>
      </c>
      <c r="J13" s="14"/>
      <c r="K13" s="48"/>
      <c r="L13" s="6">
        <f t="shared" ref="L13:L15" si="3">L14+1</f>
        <v>74</v>
      </c>
      <c r="M13" s="7"/>
      <c r="N13" s="47"/>
      <c r="O13" s="13">
        <v>37</v>
      </c>
      <c r="P13" s="14"/>
      <c r="Q13" s="47"/>
      <c r="R13" s="8">
        <v>106</v>
      </c>
      <c r="S13" s="9"/>
      <c r="T13" s="48"/>
      <c r="U13" s="8">
        <f t="shared" ref="U13:U15" si="4">1+U14</f>
        <v>111</v>
      </c>
      <c r="V13" s="9"/>
      <c r="W13" s="48"/>
      <c r="X13" s="8">
        <v>105</v>
      </c>
      <c r="Y13" s="9"/>
      <c r="Z13" s="48"/>
      <c r="AA13" s="5">
        <v>74</v>
      </c>
      <c r="AB13" s="3"/>
      <c r="AC13" s="48"/>
      <c r="AD13" s="4">
        <f t="shared" ref="AD13:AD15" si="5">AD14+1</f>
        <v>74</v>
      </c>
      <c r="AE13" s="2"/>
      <c r="AF13" s="48"/>
      <c r="AG13" s="5">
        <v>69</v>
      </c>
      <c r="AH13" s="3"/>
      <c r="AI13" s="48"/>
      <c r="AJ13" s="4">
        <f t="shared" ref="AJ13:AJ15" si="6">AJ14+2</f>
        <v>69</v>
      </c>
      <c r="AK13" s="2"/>
      <c r="AL13" s="58"/>
      <c r="AN13" s="112" t="s">
        <v>16</v>
      </c>
      <c r="AO13" s="113"/>
      <c r="AP13" s="15"/>
      <c r="AQ13" s="38"/>
      <c r="AR13" s="39"/>
    </row>
    <row r="14" spans="1:45" s="25" customFormat="1" ht="15.75" thickTop="1" x14ac:dyDescent="0.25">
      <c r="B14" s="62"/>
      <c r="D14" s="15">
        <f t="shared" si="0"/>
        <v>36</v>
      </c>
      <c r="E14" s="54"/>
      <c r="F14" s="6">
        <f t="shared" si="1"/>
        <v>67</v>
      </c>
      <c r="G14" s="7"/>
      <c r="H14" s="48"/>
      <c r="I14" s="13">
        <f t="shared" si="2"/>
        <v>36</v>
      </c>
      <c r="J14" s="14"/>
      <c r="K14" s="48"/>
      <c r="L14" s="6">
        <f t="shared" si="3"/>
        <v>73</v>
      </c>
      <c r="M14" s="7"/>
      <c r="N14" s="47"/>
      <c r="O14" s="13">
        <v>36</v>
      </c>
      <c r="P14" s="14"/>
      <c r="Q14" s="47"/>
      <c r="R14" s="8">
        <v>103</v>
      </c>
      <c r="S14" s="9"/>
      <c r="T14" s="48"/>
      <c r="U14" s="8">
        <f t="shared" si="4"/>
        <v>110</v>
      </c>
      <c r="V14" s="9"/>
      <c r="W14" s="48"/>
      <c r="X14" s="8">
        <v>102</v>
      </c>
      <c r="Y14" s="9"/>
      <c r="Z14" s="48"/>
      <c r="AA14" s="5">
        <v>73</v>
      </c>
      <c r="AB14" s="3"/>
      <c r="AC14" s="48"/>
      <c r="AD14" s="4">
        <f t="shared" si="5"/>
        <v>73</v>
      </c>
      <c r="AE14" s="2"/>
      <c r="AF14" s="48"/>
      <c r="AG14" s="5">
        <v>67</v>
      </c>
      <c r="AH14" s="3"/>
      <c r="AI14" s="48"/>
      <c r="AJ14" s="4">
        <f t="shared" si="6"/>
        <v>67</v>
      </c>
      <c r="AK14" s="2"/>
      <c r="AL14" s="58"/>
      <c r="AN14" s="43"/>
      <c r="AO14" s="19" t="s">
        <v>11</v>
      </c>
      <c r="AP14" s="15"/>
      <c r="AQ14" s="38"/>
      <c r="AR14" s="39"/>
    </row>
    <row r="15" spans="1:45" s="25" customFormat="1" x14ac:dyDescent="0.25">
      <c r="B15" s="62"/>
      <c r="D15" s="15">
        <f t="shared" si="0"/>
        <v>35</v>
      </c>
      <c r="E15" s="54"/>
      <c r="F15" s="6">
        <f t="shared" si="1"/>
        <v>65</v>
      </c>
      <c r="G15" s="7"/>
      <c r="H15" s="48"/>
      <c r="I15" s="13">
        <f t="shared" si="2"/>
        <v>35</v>
      </c>
      <c r="J15" s="14"/>
      <c r="K15" s="48"/>
      <c r="L15" s="6">
        <f t="shared" si="3"/>
        <v>72</v>
      </c>
      <c r="M15" s="7"/>
      <c r="N15" s="47"/>
      <c r="O15" s="13">
        <v>35</v>
      </c>
      <c r="P15" s="14"/>
      <c r="Q15" s="47"/>
      <c r="R15" s="8">
        <v>100</v>
      </c>
      <c r="S15" s="71" t="s">
        <v>42</v>
      </c>
      <c r="T15" s="48"/>
      <c r="U15" s="8">
        <f t="shared" si="4"/>
        <v>109</v>
      </c>
      <c r="V15" s="71" t="s">
        <v>42</v>
      </c>
      <c r="W15" s="48"/>
      <c r="X15" s="8">
        <v>99</v>
      </c>
      <c r="Y15" s="71" t="s">
        <v>42</v>
      </c>
      <c r="Z15" s="48"/>
      <c r="AA15" s="5">
        <v>72</v>
      </c>
      <c r="AB15" s="3"/>
      <c r="AC15" s="48"/>
      <c r="AD15" s="4">
        <f t="shared" si="5"/>
        <v>72</v>
      </c>
      <c r="AE15" s="72" t="s">
        <v>42</v>
      </c>
      <c r="AF15" s="48"/>
      <c r="AG15" s="5">
        <v>65</v>
      </c>
      <c r="AH15" s="3"/>
      <c r="AI15" s="48"/>
      <c r="AJ15" s="4">
        <f t="shared" si="6"/>
        <v>65</v>
      </c>
      <c r="AK15" s="72" t="s">
        <v>42</v>
      </c>
      <c r="AL15" s="58"/>
      <c r="AN15" s="17"/>
      <c r="AO15" s="19" t="s">
        <v>12</v>
      </c>
      <c r="AP15" s="15"/>
      <c r="AQ15" s="38"/>
      <c r="AR15" s="39"/>
    </row>
    <row r="16" spans="1:45" x14ac:dyDescent="0.25">
      <c r="B16" s="62"/>
      <c r="D16" s="15">
        <f t="shared" ref="D16:D47" si="7">1+D17</f>
        <v>34</v>
      </c>
      <c r="E16" s="54"/>
      <c r="F16" s="6">
        <f t="shared" ref="F16:F42" si="8">F17+2</f>
        <v>63</v>
      </c>
      <c r="G16" s="7"/>
      <c r="H16" s="48"/>
      <c r="I16" s="13">
        <f t="shared" ref="I16:I47" si="9">I17+1</f>
        <v>34</v>
      </c>
      <c r="J16" s="14"/>
      <c r="K16" s="48"/>
      <c r="L16" s="6">
        <f t="shared" ref="L16" si="10">L17+1</f>
        <v>71</v>
      </c>
      <c r="M16" s="7"/>
      <c r="N16" s="47"/>
      <c r="O16" s="13">
        <f t="shared" ref="O16:O47" si="11">1+O17</f>
        <v>34</v>
      </c>
      <c r="P16" s="14"/>
      <c r="Q16" s="47"/>
      <c r="R16" s="8">
        <f t="shared" ref="R16:R29" si="12">R17+3</f>
        <v>97</v>
      </c>
      <c r="S16" s="9"/>
      <c r="T16" s="48"/>
      <c r="U16" s="8">
        <f t="shared" ref="U16" si="13">1+U17</f>
        <v>108</v>
      </c>
      <c r="V16" s="9"/>
      <c r="W16" s="48"/>
      <c r="X16" s="8">
        <f t="shared" ref="X16:X29" si="14">3+X17</f>
        <v>96</v>
      </c>
      <c r="Y16" s="9"/>
      <c r="Z16" s="48"/>
      <c r="AA16" s="5">
        <v>71</v>
      </c>
      <c r="AB16" s="3"/>
      <c r="AC16" s="48"/>
      <c r="AD16" s="4">
        <f t="shared" ref="AD16" si="15">AD17+1</f>
        <v>71</v>
      </c>
      <c r="AE16" s="2"/>
      <c r="AF16" s="48"/>
      <c r="AG16" s="5">
        <v>63</v>
      </c>
      <c r="AH16" s="3"/>
      <c r="AI16" s="48"/>
      <c r="AJ16" s="4">
        <f t="shared" ref="AJ16:AJ42" si="16">AJ17+2</f>
        <v>63</v>
      </c>
      <c r="AK16" s="2"/>
      <c r="AL16" s="58"/>
      <c r="AN16" s="18"/>
      <c r="AO16" s="19" t="s">
        <v>13</v>
      </c>
      <c r="AP16" s="1"/>
      <c r="AQ16" s="38"/>
      <c r="AR16" s="39"/>
    </row>
    <row r="17" spans="2:44" x14ac:dyDescent="0.25">
      <c r="B17" s="62"/>
      <c r="D17" s="15">
        <f t="shared" si="7"/>
        <v>33</v>
      </c>
      <c r="E17" s="54"/>
      <c r="F17" s="6">
        <f t="shared" si="8"/>
        <v>61</v>
      </c>
      <c r="G17" s="7"/>
      <c r="H17" s="48"/>
      <c r="I17" s="13">
        <f t="shared" si="9"/>
        <v>33</v>
      </c>
      <c r="J17" s="14"/>
      <c r="K17" s="48"/>
      <c r="L17" s="6">
        <v>70</v>
      </c>
      <c r="M17" s="7"/>
      <c r="N17" s="47"/>
      <c r="O17" s="13">
        <f t="shared" si="11"/>
        <v>33</v>
      </c>
      <c r="P17" s="14"/>
      <c r="Q17" s="47"/>
      <c r="R17" s="8">
        <f t="shared" si="12"/>
        <v>94</v>
      </c>
      <c r="S17" s="9"/>
      <c r="T17" s="48"/>
      <c r="U17" s="8">
        <v>107</v>
      </c>
      <c r="V17" s="9"/>
      <c r="W17" s="48"/>
      <c r="X17" s="8">
        <f t="shared" si="14"/>
        <v>93</v>
      </c>
      <c r="Y17" s="9"/>
      <c r="Z17" s="48"/>
      <c r="AA17" s="5">
        <v>70</v>
      </c>
      <c r="AB17" s="3"/>
      <c r="AC17" s="48"/>
      <c r="AD17" s="4">
        <f>AD18+2</f>
        <v>70</v>
      </c>
      <c r="AE17" s="2"/>
      <c r="AF17" s="48"/>
      <c r="AG17" s="5">
        <v>61</v>
      </c>
      <c r="AH17" s="3"/>
      <c r="AI17" s="48"/>
      <c r="AJ17" s="4">
        <f t="shared" si="16"/>
        <v>61</v>
      </c>
      <c r="AK17" s="2"/>
      <c r="AL17" s="58"/>
      <c r="AN17" s="21"/>
      <c r="AO17" s="19" t="s">
        <v>14</v>
      </c>
      <c r="AP17" s="1"/>
      <c r="AQ17" s="38"/>
      <c r="AR17" s="39"/>
    </row>
    <row r="18" spans="2:44" ht="15.75" thickBot="1" x14ac:dyDescent="0.3">
      <c r="B18" s="62"/>
      <c r="D18" s="15">
        <f t="shared" si="7"/>
        <v>32</v>
      </c>
      <c r="E18" s="54"/>
      <c r="F18" s="6">
        <f t="shared" si="8"/>
        <v>59</v>
      </c>
      <c r="G18" s="7"/>
      <c r="H18" s="48"/>
      <c r="I18" s="13">
        <f t="shared" si="9"/>
        <v>32</v>
      </c>
      <c r="J18" s="14"/>
      <c r="K18" s="48"/>
      <c r="L18" s="6">
        <v>68</v>
      </c>
      <c r="M18" s="7"/>
      <c r="N18" s="47"/>
      <c r="O18" s="13">
        <f t="shared" si="11"/>
        <v>32</v>
      </c>
      <c r="P18" s="14"/>
      <c r="Q18" s="47"/>
      <c r="R18" s="8">
        <f t="shared" si="12"/>
        <v>91</v>
      </c>
      <c r="S18" s="9"/>
      <c r="T18" s="48"/>
      <c r="U18" s="8">
        <v>104</v>
      </c>
      <c r="V18" s="9"/>
      <c r="W18" s="48"/>
      <c r="X18" s="8">
        <f t="shared" si="14"/>
        <v>90</v>
      </c>
      <c r="Y18" s="9"/>
      <c r="Z18" s="48"/>
      <c r="AA18" s="5">
        <v>68</v>
      </c>
      <c r="AB18" s="3"/>
      <c r="AC18" s="48"/>
      <c r="AD18" s="4">
        <f>AD19+2</f>
        <v>68</v>
      </c>
      <c r="AE18" s="2"/>
      <c r="AF18" s="48"/>
      <c r="AG18" s="5">
        <v>59</v>
      </c>
      <c r="AH18" s="3"/>
      <c r="AI18" s="48"/>
      <c r="AJ18" s="4">
        <f t="shared" si="16"/>
        <v>59</v>
      </c>
      <c r="AK18" s="2"/>
      <c r="AL18" s="58"/>
      <c r="AN18" s="22"/>
      <c r="AO18" s="20" t="s">
        <v>15</v>
      </c>
      <c r="AP18" s="1"/>
      <c r="AQ18" s="38"/>
      <c r="AR18" s="39"/>
    </row>
    <row r="19" spans="2:44" x14ac:dyDescent="0.25">
      <c r="B19" s="62"/>
      <c r="D19" s="15">
        <f t="shared" si="7"/>
        <v>31</v>
      </c>
      <c r="E19" s="54"/>
      <c r="F19" s="6">
        <f t="shared" si="8"/>
        <v>57</v>
      </c>
      <c r="G19" s="7"/>
      <c r="H19" s="48"/>
      <c r="I19" s="13">
        <f t="shared" si="9"/>
        <v>31</v>
      </c>
      <c r="J19" s="14"/>
      <c r="K19" s="48"/>
      <c r="L19" s="6">
        <f t="shared" ref="L19:L46" si="17">L20+2</f>
        <v>66</v>
      </c>
      <c r="M19" s="7"/>
      <c r="N19" s="47"/>
      <c r="O19" s="13">
        <f t="shared" si="11"/>
        <v>31</v>
      </c>
      <c r="P19" s="14"/>
      <c r="Q19" s="47"/>
      <c r="R19" s="8">
        <f t="shared" si="12"/>
        <v>88</v>
      </c>
      <c r="S19" s="9"/>
      <c r="T19" s="48"/>
      <c r="U19" s="8">
        <f>3+U20</f>
        <v>101</v>
      </c>
      <c r="V19" s="9"/>
      <c r="W19" s="48"/>
      <c r="X19" s="8">
        <f t="shared" si="14"/>
        <v>87</v>
      </c>
      <c r="Y19" s="9"/>
      <c r="Z19" s="48"/>
      <c r="AA19" s="5">
        <v>66</v>
      </c>
      <c r="AB19" s="3"/>
      <c r="AC19" s="48"/>
      <c r="AD19" s="4">
        <f t="shared" ref="AD19:AD46" si="18">AD20+2</f>
        <v>66</v>
      </c>
      <c r="AE19" s="2"/>
      <c r="AF19" s="48"/>
      <c r="AG19" s="5">
        <v>57</v>
      </c>
      <c r="AH19" s="3"/>
      <c r="AI19" s="48"/>
      <c r="AJ19" s="4">
        <f t="shared" si="16"/>
        <v>57</v>
      </c>
      <c r="AK19" s="2"/>
      <c r="AL19" s="58"/>
      <c r="AP19" s="1"/>
      <c r="AQ19" s="38"/>
      <c r="AR19" s="39"/>
    </row>
    <row r="20" spans="2:44" x14ac:dyDescent="0.25">
      <c r="B20" s="62"/>
      <c r="D20" s="15">
        <f t="shared" si="7"/>
        <v>30</v>
      </c>
      <c r="E20" s="54"/>
      <c r="F20" s="6">
        <f t="shared" si="8"/>
        <v>55</v>
      </c>
      <c r="G20" s="7"/>
      <c r="H20" s="48"/>
      <c r="I20" s="13">
        <f t="shared" si="9"/>
        <v>30</v>
      </c>
      <c r="J20" s="14"/>
      <c r="K20" s="48"/>
      <c r="L20" s="6">
        <f t="shared" si="17"/>
        <v>64</v>
      </c>
      <c r="M20" s="7"/>
      <c r="N20" s="47"/>
      <c r="O20" s="13">
        <f t="shared" si="11"/>
        <v>30</v>
      </c>
      <c r="P20" s="14"/>
      <c r="Q20" s="47"/>
      <c r="R20" s="8">
        <f t="shared" si="12"/>
        <v>85</v>
      </c>
      <c r="S20" s="71" t="s">
        <v>42</v>
      </c>
      <c r="T20" s="48"/>
      <c r="U20" s="8">
        <f t="shared" ref="U20:U47" si="19">3+U21</f>
        <v>98</v>
      </c>
      <c r="V20" s="71" t="s">
        <v>42</v>
      </c>
      <c r="W20" s="48"/>
      <c r="X20" s="8">
        <f t="shared" si="14"/>
        <v>84</v>
      </c>
      <c r="Y20" s="71" t="s">
        <v>42</v>
      </c>
      <c r="Z20" s="48"/>
      <c r="AA20" s="5">
        <v>64</v>
      </c>
      <c r="AB20" s="3"/>
      <c r="AC20" s="48"/>
      <c r="AD20" s="4">
        <f t="shared" si="18"/>
        <v>64</v>
      </c>
      <c r="AE20" s="72" t="s">
        <v>42</v>
      </c>
      <c r="AF20" s="48"/>
      <c r="AG20" s="5">
        <v>55</v>
      </c>
      <c r="AH20" s="3"/>
      <c r="AI20" s="48"/>
      <c r="AJ20" s="4">
        <f t="shared" si="16"/>
        <v>55</v>
      </c>
      <c r="AK20" s="72" t="s">
        <v>42</v>
      </c>
      <c r="AL20" s="58"/>
      <c r="AN20" s="25" t="s">
        <v>24</v>
      </c>
      <c r="AP20" s="1"/>
      <c r="AQ20" s="38"/>
      <c r="AR20" s="39"/>
    </row>
    <row r="21" spans="2:44" x14ac:dyDescent="0.25">
      <c r="B21" s="62"/>
      <c r="D21" s="15">
        <f t="shared" si="7"/>
        <v>29</v>
      </c>
      <c r="E21" s="54"/>
      <c r="F21" s="6">
        <f t="shared" si="8"/>
        <v>53</v>
      </c>
      <c r="G21" s="7"/>
      <c r="H21" s="48"/>
      <c r="I21" s="13">
        <f t="shared" si="9"/>
        <v>29</v>
      </c>
      <c r="J21" s="14"/>
      <c r="K21" s="48"/>
      <c r="L21" s="6">
        <f t="shared" si="17"/>
        <v>62</v>
      </c>
      <c r="M21" s="7"/>
      <c r="N21" s="47"/>
      <c r="O21" s="13">
        <f t="shared" si="11"/>
        <v>29</v>
      </c>
      <c r="P21" s="14"/>
      <c r="Q21" s="47"/>
      <c r="R21" s="8">
        <f t="shared" si="12"/>
        <v>82</v>
      </c>
      <c r="S21" s="9"/>
      <c r="T21" s="48"/>
      <c r="U21" s="8">
        <f t="shared" si="19"/>
        <v>95</v>
      </c>
      <c r="V21" s="9"/>
      <c r="W21" s="48"/>
      <c r="X21" s="8">
        <f t="shared" si="14"/>
        <v>81</v>
      </c>
      <c r="Y21" s="9"/>
      <c r="Z21" s="48"/>
      <c r="AA21" s="5">
        <v>62</v>
      </c>
      <c r="AB21" s="3"/>
      <c r="AC21" s="48"/>
      <c r="AD21" s="4">
        <f t="shared" si="18"/>
        <v>62</v>
      </c>
      <c r="AE21" s="2"/>
      <c r="AF21" s="48"/>
      <c r="AG21" s="5">
        <v>53</v>
      </c>
      <c r="AH21" s="3"/>
      <c r="AI21" s="48"/>
      <c r="AJ21" s="4">
        <f t="shared" si="16"/>
        <v>53</v>
      </c>
      <c r="AK21" s="2"/>
      <c r="AL21" s="58"/>
      <c r="AN21" s="31" t="s">
        <v>22</v>
      </c>
      <c r="AQ21" s="38"/>
      <c r="AR21" s="39"/>
    </row>
    <row r="22" spans="2:44" ht="15.75" thickBot="1" x14ac:dyDescent="0.3">
      <c r="B22" s="65"/>
      <c r="C22" s="64"/>
      <c r="D22" s="15">
        <f t="shared" si="7"/>
        <v>28</v>
      </c>
      <c r="E22" s="54"/>
      <c r="F22" s="6">
        <f t="shared" si="8"/>
        <v>51</v>
      </c>
      <c r="G22" s="7"/>
      <c r="H22" s="48"/>
      <c r="I22" s="13">
        <f t="shared" si="9"/>
        <v>28</v>
      </c>
      <c r="J22" s="14"/>
      <c r="K22" s="48"/>
      <c r="L22" s="6">
        <f t="shared" si="17"/>
        <v>60</v>
      </c>
      <c r="M22" s="7"/>
      <c r="N22" s="47"/>
      <c r="O22" s="13">
        <f t="shared" si="11"/>
        <v>28</v>
      </c>
      <c r="P22" s="14"/>
      <c r="Q22" s="47"/>
      <c r="R22" s="86">
        <f t="shared" si="12"/>
        <v>79</v>
      </c>
      <c r="S22" s="89"/>
      <c r="T22" s="48"/>
      <c r="U22" s="86">
        <f t="shared" si="19"/>
        <v>92</v>
      </c>
      <c r="V22" s="89"/>
      <c r="W22" s="48"/>
      <c r="X22" s="86">
        <f t="shared" si="14"/>
        <v>78</v>
      </c>
      <c r="Y22" s="89"/>
      <c r="Z22" s="48"/>
      <c r="AA22" s="81">
        <v>60</v>
      </c>
      <c r="AB22" s="82"/>
      <c r="AC22" s="48"/>
      <c r="AD22" s="77">
        <f t="shared" si="18"/>
        <v>60</v>
      </c>
      <c r="AE22" s="78"/>
      <c r="AF22" s="48"/>
      <c r="AG22" s="5">
        <v>51</v>
      </c>
      <c r="AH22" s="3"/>
      <c r="AI22" s="48"/>
      <c r="AJ22" s="4">
        <f t="shared" si="16"/>
        <v>51</v>
      </c>
      <c r="AK22" s="2"/>
      <c r="AL22" s="58"/>
      <c r="AN22" s="31" t="s">
        <v>23</v>
      </c>
      <c r="AQ22" s="38"/>
      <c r="AR22" s="39"/>
    </row>
    <row r="23" spans="2:44" ht="15.75" thickTop="1" x14ac:dyDescent="0.25">
      <c r="B23" s="62"/>
      <c r="D23" s="15">
        <f t="shared" si="7"/>
        <v>27</v>
      </c>
      <c r="E23" s="54"/>
      <c r="F23" s="6">
        <f t="shared" si="8"/>
        <v>49</v>
      </c>
      <c r="G23" s="7"/>
      <c r="H23" s="48"/>
      <c r="I23" s="13">
        <f t="shared" si="9"/>
        <v>27</v>
      </c>
      <c r="J23" s="14"/>
      <c r="K23" s="48"/>
      <c r="L23" s="6">
        <f t="shared" si="17"/>
        <v>58</v>
      </c>
      <c r="M23" s="7"/>
      <c r="N23" s="47"/>
      <c r="O23" s="13">
        <f t="shared" si="11"/>
        <v>27</v>
      </c>
      <c r="P23" s="14"/>
      <c r="Q23" s="47"/>
      <c r="R23" s="83">
        <f t="shared" si="12"/>
        <v>76</v>
      </c>
      <c r="S23" s="84"/>
      <c r="T23" s="48"/>
      <c r="U23" s="83">
        <f t="shared" si="19"/>
        <v>89</v>
      </c>
      <c r="V23" s="84"/>
      <c r="W23" s="48"/>
      <c r="X23" s="83">
        <f t="shared" si="14"/>
        <v>75</v>
      </c>
      <c r="Y23" s="84"/>
      <c r="Z23" s="48"/>
      <c r="AA23" s="79">
        <v>58</v>
      </c>
      <c r="AB23" s="80"/>
      <c r="AC23" s="48"/>
      <c r="AD23" s="75">
        <f t="shared" si="18"/>
        <v>58</v>
      </c>
      <c r="AE23" s="76"/>
      <c r="AF23" s="48"/>
      <c r="AG23" s="5">
        <v>49</v>
      </c>
      <c r="AH23" s="3"/>
      <c r="AI23" s="48"/>
      <c r="AJ23" s="4">
        <f t="shared" si="16"/>
        <v>49</v>
      </c>
      <c r="AK23" s="2"/>
      <c r="AL23" s="58"/>
      <c r="AQ23" s="38"/>
      <c r="AR23" s="39"/>
    </row>
    <row r="24" spans="2:44" x14ac:dyDescent="0.25">
      <c r="B24" s="65"/>
      <c r="D24" s="15">
        <f t="shared" si="7"/>
        <v>26</v>
      </c>
      <c r="E24" s="54"/>
      <c r="F24" s="6">
        <f t="shared" si="8"/>
        <v>47</v>
      </c>
      <c r="G24" s="7"/>
      <c r="H24" s="48"/>
      <c r="I24" s="13">
        <f t="shared" si="9"/>
        <v>26</v>
      </c>
      <c r="J24" s="14"/>
      <c r="K24" s="48"/>
      <c r="L24" s="6">
        <f t="shared" si="17"/>
        <v>56</v>
      </c>
      <c r="M24" s="7"/>
      <c r="N24" s="47"/>
      <c r="O24" s="13">
        <f t="shared" si="11"/>
        <v>26</v>
      </c>
      <c r="P24" s="14"/>
      <c r="Q24" s="47"/>
      <c r="R24" s="8">
        <f t="shared" si="12"/>
        <v>73</v>
      </c>
      <c r="S24" s="9"/>
      <c r="T24" s="48"/>
      <c r="U24" s="8">
        <f t="shared" si="19"/>
        <v>86</v>
      </c>
      <c r="V24" s="9"/>
      <c r="W24" s="48"/>
      <c r="X24" s="8">
        <f t="shared" si="14"/>
        <v>72</v>
      </c>
      <c r="Y24" s="9"/>
      <c r="Z24" s="48"/>
      <c r="AA24" s="5">
        <v>56</v>
      </c>
      <c r="AB24" s="3"/>
      <c r="AC24" s="48"/>
      <c r="AD24" s="4">
        <f t="shared" si="18"/>
        <v>56</v>
      </c>
      <c r="AE24" s="2"/>
      <c r="AF24" s="48"/>
      <c r="AG24" s="5">
        <v>47</v>
      </c>
      <c r="AH24" s="3"/>
      <c r="AI24" s="48"/>
      <c r="AJ24" s="4">
        <f t="shared" si="16"/>
        <v>47</v>
      </c>
      <c r="AK24" s="2"/>
      <c r="AL24" s="58"/>
      <c r="AN24" s="97" t="s">
        <v>17</v>
      </c>
      <c r="AO24" s="97"/>
      <c r="AQ24" s="38"/>
      <c r="AR24" s="39"/>
    </row>
    <row r="25" spans="2:44" ht="15.75" thickBot="1" x14ac:dyDescent="0.3">
      <c r="B25" s="38"/>
      <c r="C25" s="39"/>
      <c r="D25" s="15">
        <f t="shared" si="7"/>
        <v>25</v>
      </c>
      <c r="E25" s="54"/>
      <c r="F25" s="6">
        <f t="shared" si="8"/>
        <v>45</v>
      </c>
      <c r="G25" s="7"/>
      <c r="H25" s="48"/>
      <c r="I25" s="67">
        <f t="shared" si="9"/>
        <v>25</v>
      </c>
      <c r="J25" s="68"/>
      <c r="K25" s="48"/>
      <c r="L25" s="93">
        <f t="shared" si="17"/>
        <v>54</v>
      </c>
      <c r="M25" s="94"/>
      <c r="N25" s="47"/>
      <c r="O25" s="13">
        <f t="shared" si="11"/>
        <v>25</v>
      </c>
      <c r="P25" s="14"/>
      <c r="Q25" s="47"/>
      <c r="R25" s="8">
        <f t="shared" si="12"/>
        <v>70</v>
      </c>
      <c r="S25" s="71" t="s">
        <v>42</v>
      </c>
      <c r="T25" s="48"/>
      <c r="U25" s="8">
        <f t="shared" si="19"/>
        <v>83</v>
      </c>
      <c r="V25" s="71" t="s">
        <v>42</v>
      </c>
      <c r="W25" s="48"/>
      <c r="X25" s="8">
        <f t="shared" si="14"/>
        <v>69</v>
      </c>
      <c r="Y25" s="71" t="s">
        <v>42</v>
      </c>
      <c r="Z25" s="48"/>
      <c r="AA25" s="5">
        <v>54</v>
      </c>
      <c r="AB25" s="3"/>
      <c r="AC25" s="48"/>
      <c r="AD25" s="4">
        <f t="shared" si="18"/>
        <v>54</v>
      </c>
      <c r="AE25" s="72" t="s">
        <v>42</v>
      </c>
      <c r="AF25" s="48"/>
      <c r="AG25" s="81">
        <v>45</v>
      </c>
      <c r="AH25" s="82"/>
      <c r="AI25" s="48"/>
      <c r="AJ25" s="77">
        <f t="shared" si="16"/>
        <v>45</v>
      </c>
      <c r="AK25" s="96" t="s">
        <v>42</v>
      </c>
      <c r="AL25" s="58"/>
      <c r="AN25" s="24"/>
      <c r="AO25" s="24"/>
      <c r="AQ25" s="38"/>
      <c r="AR25" s="39"/>
    </row>
    <row r="26" spans="2:44" ht="16.5" thickTop="1" thickBot="1" x14ac:dyDescent="0.3">
      <c r="B26" s="38"/>
      <c r="C26" s="39"/>
      <c r="D26" s="15">
        <f t="shared" si="7"/>
        <v>24</v>
      </c>
      <c r="E26" s="54"/>
      <c r="F26" s="6">
        <f t="shared" si="8"/>
        <v>43</v>
      </c>
      <c r="G26" s="7"/>
      <c r="H26" s="48"/>
      <c r="I26" s="49">
        <f t="shared" si="9"/>
        <v>24</v>
      </c>
      <c r="J26" s="50"/>
      <c r="K26" s="48"/>
      <c r="L26" s="90">
        <f t="shared" si="17"/>
        <v>52</v>
      </c>
      <c r="M26" s="91"/>
      <c r="N26" s="66"/>
      <c r="O26" s="67">
        <f t="shared" si="11"/>
        <v>24</v>
      </c>
      <c r="P26" s="68"/>
      <c r="Q26" s="69"/>
      <c r="R26" s="8">
        <f t="shared" si="12"/>
        <v>67</v>
      </c>
      <c r="S26" s="9"/>
      <c r="T26" s="48"/>
      <c r="U26" s="8">
        <f t="shared" si="19"/>
        <v>80</v>
      </c>
      <c r="V26" s="9"/>
      <c r="W26" s="48"/>
      <c r="X26" s="8">
        <f t="shared" si="14"/>
        <v>66</v>
      </c>
      <c r="Y26" s="9"/>
      <c r="Z26" s="48"/>
      <c r="AA26" s="5">
        <v>52</v>
      </c>
      <c r="AB26" s="3"/>
      <c r="AC26" s="48"/>
      <c r="AD26" s="4">
        <f t="shared" si="18"/>
        <v>52</v>
      </c>
      <c r="AE26" s="2"/>
      <c r="AF26" s="48"/>
      <c r="AG26" s="79">
        <v>43</v>
      </c>
      <c r="AH26" s="80"/>
      <c r="AI26" s="48"/>
      <c r="AJ26" s="75">
        <f t="shared" si="16"/>
        <v>43</v>
      </c>
      <c r="AK26" s="76"/>
      <c r="AL26" s="58"/>
      <c r="AN26" s="97" t="s">
        <v>25</v>
      </c>
      <c r="AO26" s="97"/>
      <c r="AP26" s="36"/>
      <c r="AQ26" s="38"/>
      <c r="AR26" s="39"/>
    </row>
    <row r="27" spans="2:44" ht="15.75" thickTop="1" x14ac:dyDescent="0.25">
      <c r="B27" s="38"/>
      <c r="C27" s="39"/>
      <c r="D27" s="15">
        <f t="shared" si="7"/>
        <v>23</v>
      </c>
      <c r="E27" s="54"/>
      <c r="F27" s="6">
        <f t="shared" si="8"/>
        <v>41</v>
      </c>
      <c r="G27" s="7"/>
      <c r="H27" s="48"/>
      <c r="I27" s="13">
        <f t="shared" si="9"/>
        <v>23</v>
      </c>
      <c r="J27" s="14"/>
      <c r="K27" s="48"/>
      <c r="L27" s="6">
        <f t="shared" si="17"/>
        <v>50</v>
      </c>
      <c r="M27" s="60"/>
      <c r="N27" s="11"/>
      <c r="O27" s="49">
        <f t="shared" si="11"/>
        <v>23</v>
      </c>
      <c r="P27" s="50"/>
      <c r="Q27" s="62"/>
      <c r="R27" s="61">
        <f t="shared" si="12"/>
        <v>64</v>
      </c>
      <c r="S27" s="9"/>
      <c r="T27" s="48"/>
      <c r="U27" s="8">
        <f t="shared" si="19"/>
        <v>77</v>
      </c>
      <c r="V27" s="9"/>
      <c r="W27" s="48"/>
      <c r="X27" s="8">
        <f t="shared" si="14"/>
        <v>63</v>
      </c>
      <c r="Y27" s="9"/>
      <c r="Z27" s="48"/>
      <c r="AA27" s="5">
        <v>50</v>
      </c>
      <c r="AB27" s="3"/>
      <c r="AC27" s="48"/>
      <c r="AD27" s="4">
        <f t="shared" si="18"/>
        <v>50</v>
      </c>
      <c r="AE27" s="2"/>
      <c r="AF27" s="48"/>
      <c r="AG27" s="5">
        <v>41</v>
      </c>
      <c r="AH27" s="3"/>
      <c r="AI27" s="48"/>
      <c r="AJ27" s="4">
        <f t="shared" si="16"/>
        <v>41</v>
      </c>
      <c r="AK27" s="2"/>
      <c r="AL27" s="58"/>
      <c r="AP27" s="36"/>
      <c r="AQ27" s="38"/>
      <c r="AR27" s="39"/>
    </row>
    <row r="28" spans="2:44" x14ac:dyDescent="0.25">
      <c r="B28" s="38"/>
      <c r="C28" s="39"/>
      <c r="D28" s="15">
        <f t="shared" si="7"/>
        <v>22</v>
      </c>
      <c r="E28" s="54"/>
      <c r="F28" s="6">
        <f t="shared" si="8"/>
        <v>39</v>
      </c>
      <c r="G28" s="7"/>
      <c r="H28" s="48"/>
      <c r="I28" s="13">
        <f t="shared" si="9"/>
        <v>22</v>
      </c>
      <c r="J28" s="14"/>
      <c r="K28" s="48"/>
      <c r="L28" s="6">
        <f t="shared" si="17"/>
        <v>48</v>
      </c>
      <c r="M28" s="60"/>
      <c r="N28" s="11"/>
      <c r="O28" s="13">
        <f t="shared" si="11"/>
        <v>22</v>
      </c>
      <c r="P28" s="14"/>
      <c r="Q28" s="62"/>
      <c r="R28" s="61">
        <f t="shared" si="12"/>
        <v>61</v>
      </c>
      <c r="S28" s="9"/>
      <c r="T28" s="48"/>
      <c r="U28" s="8">
        <f t="shared" si="19"/>
        <v>74</v>
      </c>
      <c r="V28" s="9"/>
      <c r="W28" s="48"/>
      <c r="X28" s="8">
        <f t="shared" si="14"/>
        <v>60</v>
      </c>
      <c r="Y28" s="9"/>
      <c r="Z28" s="48"/>
      <c r="AA28" s="5">
        <v>48</v>
      </c>
      <c r="AB28" s="3"/>
      <c r="AC28" s="48"/>
      <c r="AD28" s="4">
        <f t="shared" si="18"/>
        <v>48</v>
      </c>
      <c r="AE28" s="2"/>
      <c r="AF28" s="48"/>
      <c r="AG28" s="5">
        <v>39</v>
      </c>
      <c r="AH28" s="3"/>
      <c r="AI28" s="48"/>
      <c r="AJ28" s="4">
        <f t="shared" si="16"/>
        <v>39</v>
      </c>
      <c r="AK28" s="2"/>
      <c r="AL28" s="58"/>
      <c r="AN28" s="111" t="s">
        <v>18</v>
      </c>
      <c r="AO28" s="111"/>
      <c r="AP28" s="36"/>
      <c r="AQ28" s="38"/>
      <c r="AR28" s="39"/>
    </row>
    <row r="29" spans="2:44" x14ac:dyDescent="0.25">
      <c r="B29" s="38"/>
      <c r="C29" s="39"/>
      <c r="D29" s="15">
        <f t="shared" si="7"/>
        <v>21</v>
      </c>
      <c r="E29" s="54"/>
      <c r="F29" s="6">
        <f t="shared" si="8"/>
        <v>37</v>
      </c>
      <c r="G29" s="7"/>
      <c r="H29" s="48"/>
      <c r="I29" s="13">
        <f t="shared" si="9"/>
        <v>21</v>
      </c>
      <c r="J29" s="14"/>
      <c r="K29" s="48"/>
      <c r="L29" s="6">
        <f t="shared" si="17"/>
        <v>46</v>
      </c>
      <c r="M29" s="60"/>
      <c r="N29" s="11"/>
      <c r="O29" s="13">
        <f t="shared" si="11"/>
        <v>21</v>
      </c>
      <c r="P29" s="14"/>
      <c r="Q29" s="62"/>
      <c r="R29" s="61">
        <f t="shared" si="12"/>
        <v>58</v>
      </c>
      <c r="S29" s="9"/>
      <c r="T29" s="48"/>
      <c r="U29" s="8">
        <f t="shared" si="19"/>
        <v>71</v>
      </c>
      <c r="V29" s="9"/>
      <c r="W29" s="48"/>
      <c r="X29" s="8">
        <f t="shared" si="14"/>
        <v>57</v>
      </c>
      <c r="Y29" s="9"/>
      <c r="Z29" s="48"/>
      <c r="AA29" s="5">
        <v>46</v>
      </c>
      <c r="AB29" s="3"/>
      <c r="AC29" s="48"/>
      <c r="AD29" s="4">
        <f t="shared" si="18"/>
        <v>46</v>
      </c>
      <c r="AE29" s="2"/>
      <c r="AF29" s="48"/>
      <c r="AG29" s="5">
        <v>37</v>
      </c>
      <c r="AH29" s="3"/>
      <c r="AI29" s="48"/>
      <c r="AJ29" s="4">
        <f t="shared" si="16"/>
        <v>37</v>
      </c>
      <c r="AK29" s="2"/>
      <c r="AL29" s="58"/>
      <c r="AN29" s="32" t="s">
        <v>29</v>
      </c>
      <c r="AO29" s="32"/>
      <c r="AQ29" s="38"/>
      <c r="AR29" s="39"/>
    </row>
    <row r="30" spans="2:44" x14ac:dyDescent="0.25">
      <c r="B30" s="38"/>
      <c r="C30" s="39"/>
      <c r="D30" s="15">
        <f t="shared" si="7"/>
        <v>20</v>
      </c>
      <c r="E30" s="54"/>
      <c r="F30" s="6">
        <f t="shared" si="8"/>
        <v>35</v>
      </c>
      <c r="G30" s="7"/>
      <c r="H30" s="48"/>
      <c r="I30" s="13">
        <f t="shared" si="9"/>
        <v>20</v>
      </c>
      <c r="J30" s="14"/>
      <c r="K30" s="48"/>
      <c r="L30" s="6">
        <f t="shared" si="17"/>
        <v>44</v>
      </c>
      <c r="M30" s="60"/>
      <c r="N30" s="11"/>
      <c r="O30" s="13">
        <f t="shared" si="11"/>
        <v>20</v>
      </c>
      <c r="P30" s="14"/>
      <c r="Q30" s="62"/>
      <c r="R30" s="61">
        <f>R31+3</f>
        <v>55</v>
      </c>
      <c r="S30" s="71" t="s">
        <v>42</v>
      </c>
      <c r="T30" s="48"/>
      <c r="U30" s="8">
        <f t="shared" si="19"/>
        <v>68</v>
      </c>
      <c r="V30" s="71" t="s">
        <v>42</v>
      </c>
      <c r="W30" s="48"/>
      <c r="X30" s="8">
        <f>3+X31</f>
        <v>54</v>
      </c>
      <c r="Y30" s="71" t="s">
        <v>42</v>
      </c>
      <c r="Z30" s="48"/>
      <c r="AA30" s="5">
        <v>44</v>
      </c>
      <c r="AB30" s="3"/>
      <c r="AC30" s="48"/>
      <c r="AD30" s="4">
        <f t="shared" si="18"/>
        <v>44</v>
      </c>
      <c r="AE30" s="72" t="s">
        <v>42</v>
      </c>
      <c r="AF30" s="48"/>
      <c r="AG30" s="5">
        <v>35</v>
      </c>
      <c r="AH30" s="3"/>
      <c r="AI30" s="48"/>
      <c r="AJ30" s="4">
        <f t="shared" si="16"/>
        <v>35</v>
      </c>
      <c r="AK30" s="72" t="s">
        <v>42</v>
      </c>
      <c r="AL30" s="58"/>
      <c r="AM30" s="32"/>
      <c r="AN30" s="97" t="s">
        <v>30</v>
      </c>
      <c r="AO30" s="97"/>
      <c r="AP30" s="35"/>
      <c r="AQ30" s="40"/>
      <c r="AR30" s="39"/>
    </row>
    <row r="31" spans="2:44" ht="15.75" thickBot="1" x14ac:dyDescent="0.3">
      <c r="B31" s="38"/>
      <c r="C31" s="39"/>
      <c r="D31" s="15">
        <f t="shared" si="7"/>
        <v>19</v>
      </c>
      <c r="E31" s="54"/>
      <c r="F31" s="6">
        <f t="shared" si="8"/>
        <v>33</v>
      </c>
      <c r="G31" s="7"/>
      <c r="H31" s="48"/>
      <c r="I31" s="13">
        <f t="shared" si="9"/>
        <v>19</v>
      </c>
      <c r="J31" s="14"/>
      <c r="K31" s="48"/>
      <c r="L31" s="6">
        <f t="shared" si="17"/>
        <v>42</v>
      </c>
      <c r="M31" s="60"/>
      <c r="N31" s="11"/>
      <c r="O31" s="13">
        <f t="shared" si="11"/>
        <v>19</v>
      </c>
      <c r="P31" s="14"/>
      <c r="Q31" s="62"/>
      <c r="R31" s="88">
        <f t="shared" ref="R31:R43" si="20">R32+3</f>
        <v>52</v>
      </c>
      <c r="S31" s="89"/>
      <c r="T31" s="48"/>
      <c r="U31" s="86">
        <f t="shared" si="19"/>
        <v>65</v>
      </c>
      <c r="V31" s="89"/>
      <c r="W31" s="48"/>
      <c r="X31" s="86">
        <f t="shared" ref="X31:X43" si="21">3+X32</f>
        <v>51</v>
      </c>
      <c r="Y31" s="89"/>
      <c r="Z31" s="48"/>
      <c r="AA31" s="81">
        <v>42</v>
      </c>
      <c r="AB31" s="82"/>
      <c r="AC31" s="48"/>
      <c r="AD31" s="77">
        <f t="shared" si="18"/>
        <v>42</v>
      </c>
      <c r="AE31" s="78"/>
      <c r="AF31" s="48"/>
      <c r="AG31" s="5">
        <v>33</v>
      </c>
      <c r="AH31" s="3"/>
      <c r="AI31" s="48"/>
      <c r="AJ31" s="4">
        <f t="shared" si="16"/>
        <v>33</v>
      </c>
      <c r="AK31" s="2"/>
      <c r="AL31" s="58"/>
      <c r="AN31" s="23"/>
      <c r="AP31" s="32"/>
      <c r="AQ31" s="40"/>
      <c r="AR31" s="41"/>
    </row>
    <row r="32" spans="2:44" ht="15.75" thickTop="1" x14ac:dyDescent="0.25">
      <c r="B32" s="38"/>
      <c r="C32" s="39"/>
      <c r="D32" s="15">
        <f t="shared" si="7"/>
        <v>18</v>
      </c>
      <c r="E32" s="54"/>
      <c r="F32" s="6">
        <f t="shared" si="8"/>
        <v>31</v>
      </c>
      <c r="G32" s="7"/>
      <c r="H32" s="48"/>
      <c r="I32" s="13">
        <f t="shared" si="9"/>
        <v>18</v>
      </c>
      <c r="J32" s="14"/>
      <c r="K32" s="48"/>
      <c r="L32" s="6">
        <f t="shared" si="17"/>
        <v>40</v>
      </c>
      <c r="M32" s="60"/>
      <c r="N32" s="11"/>
      <c r="O32" s="13">
        <f t="shared" si="11"/>
        <v>18</v>
      </c>
      <c r="P32" s="14"/>
      <c r="Q32" s="62"/>
      <c r="R32" s="85">
        <f t="shared" si="20"/>
        <v>49</v>
      </c>
      <c r="S32" s="84"/>
      <c r="T32" s="48"/>
      <c r="U32" s="83">
        <f t="shared" si="19"/>
        <v>62</v>
      </c>
      <c r="V32" s="84"/>
      <c r="W32" s="48"/>
      <c r="X32" s="83">
        <f t="shared" si="21"/>
        <v>48</v>
      </c>
      <c r="Y32" s="84"/>
      <c r="Z32" s="48"/>
      <c r="AA32" s="79">
        <v>40</v>
      </c>
      <c r="AB32" s="80"/>
      <c r="AC32" s="48"/>
      <c r="AD32" s="75">
        <f t="shared" si="18"/>
        <v>40</v>
      </c>
      <c r="AE32" s="76"/>
      <c r="AF32" s="48"/>
      <c r="AG32" s="5">
        <v>31</v>
      </c>
      <c r="AH32" s="3"/>
      <c r="AI32" s="48"/>
      <c r="AJ32" s="4">
        <f t="shared" si="16"/>
        <v>31</v>
      </c>
      <c r="AK32" s="2"/>
      <c r="AL32" s="58"/>
      <c r="AN32" s="23" t="s">
        <v>19</v>
      </c>
      <c r="AP32" s="36"/>
      <c r="AQ32" s="38"/>
      <c r="AR32" s="39"/>
    </row>
    <row r="33" spans="2:44" x14ac:dyDescent="0.25">
      <c r="B33" s="38"/>
      <c r="C33" s="39"/>
      <c r="D33" s="15">
        <f t="shared" si="7"/>
        <v>17</v>
      </c>
      <c r="E33" s="54"/>
      <c r="F33" s="6">
        <f t="shared" si="8"/>
        <v>29</v>
      </c>
      <c r="G33" s="7"/>
      <c r="H33" s="48"/>
      <c r="I33" s="13">
        <f t="shared" si="9"/>
        <v>17</v>
      </c>
      <c r="J33" s="14"/>
      <c r="K33" s="48"/>
      <c r="L33" s="6">
        <f t="shared" si="17"/>
        <v>38</v>
      </c>
      <c r="M33" s="60"/>
      <c r="N33" s="11"/>
      <c r="O33" s="13">
        <f t="shared" si="11"/>
        <v>17</v>
      </c>
      <c r="P33" s="14"/>
      <c r="Q33" s="62"/>
      <c r="R33" s="61">
        <f t="shared" si="20"/>
        <v>46</v>
      </c>
      <c r="S33" s="9"/>
      <c r="T33" s="48"/>
      <c r="U33" s="8">
        <f t="shared" si="19"/>
        <v>59</v>
      </c>
      <c r="V33" s="9"/>
      <c r="W33" s="48"/>
      <c r="X33" s="8">
        <f t="shared" si="21"/>
        <v>45</v>
      </c>
      <c r="Y33" s="9"/>
      <c r="Z33" s="48"/>
      <c r="AA33" s="5">
        <v>38</v>
      </c>
      <c r="AB33" s="3"/>
      <c r="AC33" s="48"/>
      <c r="AD33" s="4">
        <f t="shared" si="18"/>
        <v>38</v>
      </c>
      <c r="AE33" s="2"/>
      <c r="AF33" s="48"/>
      <c r="AG33" s="5">
        <v>29</v>
      </c>
      <c r="AH33" s="3"/>
      <c r="AI33" s="48"/>
      <c r="AJ33" s="4">
        <f t="shared" si="16"/>
        <v>29</v>
      </c>
      <c r="AK33" s="2"/>
      <c r="AL33" s="58"/>
      <c r="AQ33" s="38"/>
      <c r="AR33" s="39"/>
    </row>
    <row r="34" spans="2:44" x14ac:dyDescent="0.25">
      <c r="B34" s="38"/>
      <c r="C34" s="39"/>
      <c r="D34" s="15">
        <f t="shared" si="7"/>
        <v>16</v>
      </c>
      <c r="E34" s="54"/>
      <c r="F34" s="6">
        <f t="shared" si="8"/>
        <v>27</v>
      </c>
      <c r="G34" s="7"/>
      <c r="H34" s="48"/>
      <c r="I34" s="13">
        <f t="shared" si="9"/>
        <v>16</v>
      </c>
      <c r="J34" s="14"/>
      <c r="K34" s="48"/>
      <c r="L34" s="6">
        <f t="shared" si="17"/>
        <v>36</v>
      </c>
      <c r="M34" s="60"/>
      <c r="N34" s="11"/>
      <c r="O34" s="13">
        <f t="shared" si="11"/>
        <v>16</v>
      </c>
      <c r="P34" s="14"/>
      <c r="Q34" s="62"/>
      <c r="R34" s="61">
        <f t="shared" si="20"/>
        <v>43</v>
      </c>
      <c r="S34" s="9"/>
      <c r="T34" s="48"/>
      <c r="U34" s="8">
        <f t="shared" si="19"/>
        <v>56</v>
      </c>
      <c r="V34" s="9"/>
      <c r="W34" s="48"/>
      <c r="X34" s="8">
        <f t="shared" si="21"/>
        <v>42</v>
      </c>
      <c r="Y34" s="9"/>
      <c r="Z34" s="48"/>
      <c r="AA34" s="5">
        <v>36</v>
      </c>
      <c r="AB34" s="3"/>
      <c r="AC34" s="48"/>
      <c r="AD34" s="4">
        <f t="shared" si="18"/>
        <v>36</v>
      </c>
      <c r="AE34" s="2"/>
      <c r="AF34" s="48"/>
      <c r="AG34" s="5">
        <v>27</v>
      </c>
      <c r="AH34" s="3"/>
      <c r="AI34" s="48"/>
      <c r="AJ34" s="4">
        <f t="shared" si="16"/>
        <v>27</v>
      </c>
      <c r="AK34" s="2"/>
      <c r="AL34" s="58"/>
      <c r="AQ34" s="38"/>
      <c r="AR34" s="39"/>
    </row>
    <row r="35" spans="2:44" x14ac:dyDescent="0.25">
      <c r="B35" s="38"/>
      <c r="C35" s="39"/>
      <c r="D35" s="15">
        <f t="shared" si="7"/>
        <v>15</v>
      </c>
      <c r="E35" s="54"/>
      <c r="F35" s="6">
        <f t="shared" si="8"/>
        <v>25</v>
      </c>
      <c r="G35" s="7"/>
      <c r="H35" s="48"/>
      <c r="I35" s="13">
        <f t="shared" si="9"/>
        <v>15</v>
      </c>
      <c r="J35" s="14"/>
      <c r="K35" s="48"/>
      <c r="L35" s="6">
        <f t="shared" si="17"/>
        <v>34</v>
      </c>
      <c r="M35" s="60"/>
      <c r="N35" s="11"/>
      <c r="O35" s="13">
        <f t="shared" si="11"/>
        <v>15</v>
      </c>
      <c r="P35" s="14"/>
      <c r="Q35" s="62"/>
      <c r="R35" s="61">
        <f t="shared" si="20"/>
        <v>40</v>
      </c>
      <c r="S35" s="71" t="s">
        <v>42</v>
      </c>
      <c r="T35" s="48"/>
      <c r="U35" s="8">
        <f t="shared" si="19"/>
        <v>53</v>
      </c>
      <c r="V35" s="71" t="s">
        <v>42</v>
      </c>
      <c r="W35" s="48"/>
      <c r="X35" s="8">
        <f t="shared" si="21"/>
        <v>39</v>
      </c>
      <c r="Y35" s="71" t="s">
        <v>42</v>
      </c>
      <c r="Z35" s="48"/>
      <c r="AA35" s="5">
        <v>34</v>
      </c>
      <c r="AB35" s="3"/>
      <c r="AC35" s="48"/>
      <c r="AD35" s="4">
        <f t="shared" si="18"/>
        <v>34</v>
      </c>
      <c r="AE35" s="72" t="s">
        <v>42</v>
      </c>
      <c r="AF35" s="48"/>
      <c r="AG35" s="5">
        <v>25</v>
      </c>
      <c r="AH35" s="3"/>
      <c r="AI35" s="48"/>
      <c r="AJ35" s="4">
        <f t="shared" si="16"/>
        <v>25</v>
      </c>
      <c r="AK35" s="72" t="s">
        <v>42</v>
      </c>
      <c r="AL35" s="58"/>
      <c r="AQ35" s="38"/>
      <c r="AR35" s="39"/>
    </row>
    <row r="36" spans="2:44" x14ac:dyDescent="0.25">
      <c r="B36" s="38"/>
      <c r="C36" s="39"/>
      <c r="D36" s="15">
        <f t="shared" si="7"/>
        <v>14</v>
      </c>
      <c r="E36" s="54"/>
      <c r="F36" s="6">
        <f t="shared" si="8"/>
        <v>23</v>
      </c>
      <c r="G36" s="7"/>
      <c r="H36" s="48"/>
      <c r="I36" s="13">
        <f t="shared" si="9"/>
        <v>14</v>
      </c>
      <c r="J36" s="14"/>
      <c r="K36" s="48"/>
      <c r="L36" s="6">
        <f t="shared" si="17"/>
        <v>32</v>
      </c>
      <c r="M36" s="60"/>
      <c r="N36" s="11"/>
      <c r="O36" s="13">
        <f t="shared" si="11"/>
        <v>14</v>
      </c>
      <c r="P36" s="14"/>
      <c r="Q36" s="62"/>
      <c r="R36" s="61">
        <f t="shared" si="20"/>
        <v>37</v>
      </c>
      <c r="S36" s="9"/>
      <c r="T36" s="48"/>
      <c r="U36" s="8">
        <f t="shared" si="19"/>
        <v>50</v>
      </c>
      <c r="V36" s="9"/>
      <c r="W36" s="48"/>
      <c r="X36" s="8">
        <f t="shared" si="21"/>
        <v>36</v>
      </c>
      <c r="Y36" s="9"/>
      <c r="Z36" s="48"/>
      <c r="AA36" s="5">
        <v>32</v>
      </c>
      <c r="AB36" s="3"/>
      <c r="AC36" s="48"/>
      <c r="AD36" s="4">
        <f t="shared" si="18"/>
        <v>32</v>
      </c>
      <c r="AE36" s="2"/>
      <c r="AF36" s="48"/>
      <c r="AG36" s="5">
        <v>23</v>
      </c>
      <c r="AH36" s="3"/>
      <c r="AI36" s="48"/>
      <c r="AJ36" s="4">
        <f t="shared" si="16"/>
        <v>23</v>
      </c>
      <c r="AK36" s="2"/>
      <c r="AL36" s="58"/>
      <c r="AQ36" s="38"/>
      <c r="AR36" s="39"/>
    </row>
    <row r="37" spans="2:44" ht="15.75" thickBot="1" x14ac:dyDescent="0.3">
      <c r="B37" s="38"/>
      <c r="C37" s="39"/>
      <c r="D37" s="15">
        <f t="shared" si="7"/>
        <v>13</v>
      </c>
      <c r="E37" s="54"/>
      <c r="F37" s="6">
        <f t="shared" si="8"/>
        <v>21</v>
      </c>
      <c r="G37" s="7"/>
      <c r="H37" s="48"/>
      <c r="I37" s="67">
        <f t="shared" si="9"/>
        <v>13</v>
      </c>
      <c r="J37" s="68"/>
      <c r="K37" s="48"/>
      <c r="L37" s="93">
        <f t="shared" si="17"/>
        <v>30</v>
      </c>
      <c r="M37" s="95"/>
      <c r="N37" s="11"/>
      <c r="O37" s="13">
        <f t="shared" si="11"/>
        <v>13</v>
      </c>
      <c r="P37" s="14"/>
      <c r="Q37" s="62"/>
      <c r="R37" s="61">
        <f t="shared" si="20"/>
        <v>34</v>
      </c>
      <c r="S37" s="9"/>
      <c r="T37" s="48"/>
      <c r="U37" s="8">
        <f t="shared" si="19"/>
        <v>47</v>
      </c>
      <c r="V37" s="9"/>
      <c r="W37" s="48"/>
      <c r="X37" s="8">
        <f t="shared" si="21"/>
        <v>33</v>
      </c>
      <c r="Y37" s="9"/>
      <c r="Z37" s="48"/>
      <c r="AA37" s="5">
        <v>30</v>
      </c>
      <c r="AB37" s="3"/>
      <c r="AC37" s="48"/>
      <c r="AD37" s="4">
        <f t="shared" si="18"/>
        <v>30</v>
      </c>
      <c r="AE37" s="2"/>
      <c r="AF37" s="48"/>
      <c r="AG37" s="81">
        <v>21</v>
      </c>
      <c r="AH37" s="82"/>
      <c r="AI37" s="48"/>
      <c r="AJ37" s="77">
        <f t="shared" si="16"/>
        <v>21</v>
      </c>
      <c r="AK37" s="78"/>
      <c r="AL37" s="58"/>
      <c r="AN37" s="34" t="s">
        <v>32</v>
      </c>
      <c r="AO37" s="33"/>
      <c r="AQ37" s="38"/>
      <c r="AR37" s="39"/>
    </row>
    <row r="38" spans="2:44" ht="15.75" thickTop="1" x14ac:dyDescent="0.25">
      <c r="B38" s="38"/>
      <c r="C38" s="39"/>
      <c r="D38" s="15">
        <f t="shared" si="7"/>
        <v>12</v>
      </c>
      <c r="E38" s="54"/>
      <c r="F38" s="6">
        <f t="shared" si="8"/>
        <v>19</v>
      </c>
      <c r="G38" s="7"/>
      <c r="H38" s="48"/>
      <c r="I38" s="49">
        <f t="shared" si="9"/>
        <v>12</v>
      </c>
      <c r="J38" s="50"/>
      <c r="K38" s="48"/>
      <c r="L38" s="90">
        <f t="shared" si="17"/>
        <v>28</v>
      </c>
      <c r="M38" s="92"/>
      <c r="N38" s="11"/>
      <c r="O38" s="13">
        <f t="shared" si="11"/>
        <v>12</v>
      </c>
      <c r="P38" s="14"/>
      <c r="Q38" s="62"/>
      <c r="R38" s="61">
        <f t="shared" si="20"/>
        <v>31</v>
      </c>
      <c r="S38" s="9"/>
      <c r="T38" s="48"/>
      <c r="U38" s="8">
        <f t="shared" si="19"/>
        <v>44</v>
      </c>
      <c r="V38" s="9"/>
      <c r="W38" s="48"/>
      <c r="X38" s="8">
        <f t="shared" si="21"/>
        <v>30</v>
      </c>
      <c r="Y38" s="9"/>
      <c r="Z38" s="48"/>
      <c r="AA38" s="5">
        <v>28</v>
      </c>
      <c r="AB38" s="3"/>
      <c r="AC38" s="48"/>
      <c r="AD38" s="4">
        <f t="shared" si="18"/>
        <v>28</v>
      </c>
      <c r="AE38" s="2"/>
      <c r="AF38" s="48"/>
      <c r="AG38" s="79">
        <v>19</v>
      </c>
      <c r="AH38" s="80"/>
      <c r="AI38" s="48"/>
      <c r="AJ38" s="75">
        <f t="shared" si="16"/>
        <v>19</v>
      </c>
      <c r="AK38" s="76"/>
      <c r="AL38" s="58"/>
      <c r="AN38" s="1"/>
      <c r="AQ38" s="38"/>
      <c r="AR38" s="39"/>
    </row>
    <row r="39" spans="2:44" x14ac:dyDescent="0.25">
      <c r="B39" s="40"/>
      <c r="C39" s="39"/>
      <c r="D39" s="15">
        <f t="shared" si="7"/>
        <v>11</v>
      </c>
      <c r="E39" s="54"/>
      <c r="F39" s="6">
        <f t="shared" si="8"/>
        <v>17</v>
      </c>
      <c r="G39" s="7"/>
      <c r="H39" s="48"/>
      <c r="I39" s="13">
        <f t="shared" si="9"/>
        <v>11</v>
      </c>
      <c r="J39" s="14"/>
      <c r="K39" s="48"/>
      <c r="L39" s="6">
        <f t="shared" si="17"/>
        <v>26</v>
      </c>
      <c r="M39" s="60"/>
      <c r="N39" s="11"/>
      <c r="O39" s="13">
        <f t="shared" si="11"/>
        <v>11</v>
      </c>
      <c r="P39" s="14"/>
      <c r="Q39" s="62"/>
      <c r="R39" s="61">
        <f t="shared" si="20"/>
        <v>28</v>
      </c>
      <c r="S39" s="9"/>
      <c r="T39" s="48"/>
      <c r="U39" s="8">
        <f t="shared" si="19"/>
        <v>41</v>
      </c>
      <c r="V39" s="9"/>
      <c r="W39" s="48"/>
      <c r="X39" s="8">
        <f t="shared" si="21"/>
        <v>27</v>
      </c>
      <c r="Y39" s="9"/>
      <c r="Z39" s="48"/>
      <c r="AA39" s="5">
        <v>26</v>
      </c>
      <c r="AB39" s="3"/>
      <c r="AC39" s="48"/>
      <c r="AD39" s="4">
        <f t="shared" si="18"/>
        <v>26</v>
      </c>
      <c r="AE39" s="2"/>
      <c r="AF39" s="48"/>
      <c r="AG39" s="5">
        <v>17</v>
      </c>
      <c r="AH39" s="3"/>
      <c r="AI39" s="48"/>
      <c r="AJ39" s="4">
        <f t="shared" si="16"/>
        <v>17</v>
      </c>
      <c r="AK39" s="2"/>
      <c r="AL39" s="58"/>
      <c r="AN39" s="34" t="s">
        <v>33</v>
      </c>
      <c r="AO39" s="33"/>
      <c r="AP39" s="33"/>
      <c r="AQ39" s="42"/>
      <c r="AR39" s="39"/>
    </row>
    <row r="40" spans="2:44" ht="15.75" thickBot="1" x14ac:dyDescent="0.3">
      <c r="B40" s="40"/>
      <c r="C40" s="41"/>
      <c r="D40" s="15">
        <f t="shared" si="7"/>
        <v>10</v>
      </c>
      <c r="E40" s="54"/>
      <c r="F40" s="6">
        <f t="shared" si="8"/>
        <v>15</v>
      </c>
      <c r="G40" s="7"/>
      <c r="H40" s="48"/>
      <c r="I40" s="13">
        <f t="shared" si="9"/>
        <v>10</v>
      </c>
      <c r="J40" s="14"/>
      <c r="K40" s="48"/>
      <c r="L40" s="6">
        <f t="shared" si="17"/>
        <v>24</v>
      </c>
      <c r="M40" s="60"/>
      <c r="N40" s="11"/>
      <c r="O40" s="13">
        <f t="shared" si="11"/>
        <v>10</v>
      </c>
      <c r="P40" s="14"/>
      <c r="Q40" s="62"/>
      <c r="R40" s="88">
        <f t="shared" si="20"/>
        <v>25</v>
      </c>
      <c r="S40" s="87" t="s">
        <v>42</v>
      </c>
      <c r="T40" s="48"/>
      <c r="U40" s="86">
        <f t="shared" si="19"/>
        <v>38</v>
      </c>
      <c r="V40" s="87" t="s">
        <v>42</v>
      </c>
      <c r="W40" s="48"/>
      <c r="X40" s="86">
        <f t="shared" si="21"/>
        <v>24</v>
      </c>
      <c r="Y40" s="87" t="s">
        <v>42</v>
      </c>
      <c r="Z40" s="48"/>
      <c r="AA40" s="81">
        <v>24</v>
      </c>
      <c r="AB40" s="82"/>
      <c r="AC40" s="48"/>
      <c r="AD40" s="77">
        <f t="shared" si="18"/>
        <v>24</v>
      </c>
      <c r="AE40" s="96" t="s">
        <v>42</v>
      </c>
      <c r="AF40" s="48"/>
      <c r="AG40" s="5">
        <v>15</v>
      </c>
      <c r="AH40" s="3"/>
      <c r="AI40" s="48"/>
      <c r="AJ40" s="4">
        <f t="shared" si="16"/>
        <v>15</v>
      </c>
      <c r="AK40" s="72" t="s">
        <v>42</v>
      </c>
      <c r="AL40" s="58"/>
      <c r="AQ40" s="38"/>
      <c r="AR40" s="39"/>
    </row>
    <row r="41" spans="2:44" ht="15.75" thickTop="1" x14ac:dyDescent="0.25">
      <c r="B41" s="38"/>
      <c r="C41" s="39"/>
      <c r="D41" s="15">
        <f t="shared" si="7"/>
        <v>9</v>
      </c>
      <c r="E41" s="54"/>
      <c r="F41" s="6">
        <f t="shared" si="8"/>
        <v>13</v>
      </c>
      <c r="G41" s="7"/>
      <c r="H41" s="48"/>
      <c r="I41" s="13">
        <f t="shared" si="9"/>
        <v>9</v>
      </c>
      <c r="J41" s="14"/>
      <c r="K41" s="48"/>
      <c r="L41" s="6">
        <f t="shared" si="17"/>
        <v>22</v>
      </c>
      <c r="M41" s="60"/>
      <c r="N41" s="11"/>
      <c r="O41" s="13">
        <f t="shared" si="11"/>
        <v>9</v>
      </c>
      <c r="P41" s="14"/>
      <c r="Q41" s="62"/>
      <c r="R41" s="85">
        <f t="shared" si="20"/>
        <v>22</v>
      </c>
      <c r="S41" s="84"/>
      <c r="T41" s="48"/>
      <c r="U41" s="83">
        <f t="shared" si="19"/>
        <v>35</v>
      </c>
      <c r="V41" s="84"/>
      <c r="W41" s="48"/>
      <c r="X41" s="83">
        <f t="shared" si="21"/>
        <v>21</v>
      </c>
      <c r="Y41" s="84"/>
      <c r="Z41" s="48"/>
      <c r="AA41" s="79">
        <v>22</v>
      </c>
      <c r="AB41" s="80"/>
      <c r="AC41" s="48"/>
      <c r="AD41" s="75">
        <f t="shared" si="18"/>
        <v>22</v>
      </c>
      <c r="AE41" s="76"/>
      <c r="AF41" s="48"/>
      <c r="AG41" s="5">
        <v>13</v>
      </c>
      <c r="AH41" s="3"/>
      <c r="AI41" s="48"/>
      <c r="AJ41" s="4">
        <f t="shared" si="16"/>
        <v>13</v>
      </c>
      <c r="AK41" s="2"/>
      <c r="AL41" s="58"/>
      <c r="AN41" s="25" t="s">
        <v>36</v>
      </c>
      <c r="AP41" s="33"/>
      <c r="AQ41" s="33"/>
    </row>
    <row r="42" spans="2:44" x14ac:dyDescent="0.25">
      <c r="B42" s="38"/>
      <c r="C42" s="39"/>
      <c r="D42" s="15">
        <f t="shared" si="7"/>
        <v>8</v>
      </c>
      <c r="E42" s="54"/>
      <c r="F42" s="6">
        <f t="shared" si="8"/>
        <v>11</v>
      </c>
      <c r="G42" s="7"/>
      <c r="H42" s="48"/>
      <c r="I42" s="13">
        <f t="shared" si="9"/>
        <v>8</v>
      </c>
      <c r="J42" s="14"/>
      <c r="K42" s="48"/>
      <c r="L42" s="6">
        <f t="shared" si="17"/>
        <v>20</v>
      </c>
      <c r="M42" s="60"/>
      <c r="N42" s="11"/>
      <c r="O42" s="13">
        <f t="shared" si="11"/>
        <v>8</v>
      </c>
      <c r="P42" s="14"/>
      <c r="Q42" s="62"/>
      <c r="R42" s="61">
        <f t="shared" si="20"/>
        <v>19</v>
      </c>
      <c r="S42" s="9"/>
      <c r="T42" s="48"/>
      <c r="U42" s="8">
        <f t="shared" si="19"/>
        <v>32</v>
      </c>
      <c r="V42" s="9"/>
      <c r="W42" s="48"/>
      <c r="X42" s="8">
        <f t="shared" si="21"/>
        <v>18</v>
      </c>
      <c r="Y42" s="9"/>
      <c r="Z42" s="48"/>
      <c r="AA42" s="5">
        <v>20</v>
      </c>
      <c r="AB42" s="3"/>
      <c r="AC42" s="48"/>
      <c r="AD42" s="4">
        <f t="shared" si="18"/>
        <v>20</v>
      </c>
      <c r="AE42" s="2"/>
      <c r="AF42" s="48"/>
      <c r="AG42" s="5">
        <v>11</v>
      </c>
      <c r="AH42" s="3"/>
      <c r="AI42" s="48"/>
      <c r="AJ42" s="4">
        <f t="shared" si="16"/>
        <v>11</v>
      </c>
      <c r="AK42" s="2"/>
      <c r="AL42" s="58"/>
    </row>
    <row r="43" spans="2:44" x14ac:dyDescent="0.25">
      <c r="B43" s="38"/>
      <c r="C43" s="39"/>
      <c r="D43" s="15">
        <f t="shared" si="7"/>
        <v>7</v>
      </c>
      <c r="E43" s="54"/>
      <c r="F43" s="6">
        <f>F44+2</f>
        <v>9</v>
      </c>
      <c r="G43" s="7"/>
      <c r="H43" s="48"/>
      <c r="I43" s="13">
        <f t="shared" si="9"/>
        <v>7</v>
      </c>
      <c r="J43" s="14"/>
      <c r="K43" s="48"/>
      <c r="L43" s="6">
        <f t="shared" si="17"/>
        <v>18</v>
      </c>
      <c r="M43" s="60"/>
      <c r="N43" s="11"/>
      <c r="O43" s="13">
        <f t="shared" si="11"/>
        <v>7</v>
      </c>
      <c r="P43" s="14"/>
      <c r="Q43" s="62"/>
      <c r="R43" s="61">
        <f t="shared" si="20"/>
        <v>16</v>
      </c>
      <c r="S43" s="9"/>
      <c r="T43" s="48"/>
      <c r="U43" s="8">
        <f t="shared" si="19"/>
        <v>29</v>
      </c>
      <c r="V43" s="9"/>
      <c r="W43" s="48"/>
      <c r="X43" s="8">
        <f t="shared" si="21"/>
        <v>15</v>
      </c>
      <c r="Y43" s="9"/>
      <c r="Z43" s="48"/>
      <c r="AA43" s="5">
        <v>18</v>
      </c>
      <c r="AB43" s="3"/>
      <c r="AC43" s="48"/>
      <c r="AD43" s="4">
        <f t="shared" si="18"/>
        <v>18</v>
      </c>
      <c r="AE43" s="2"/>
      <c r="AF43" s="48"/>
      <c r="AG43" s="5">
        <v>9</v>
      </c>
      <c r="AH43" s="3"/>
      <c r="AI43" s="48"/>
      <c r="AJ43" s="4">
        <f>AJ44+2</f>
        <v>9</v>
      </c>
      <c r="AK43" s="2"/>
      <c r="AL43" s="58"/>
    </row>
    <row r="44" spans="2:44" x14ac:dyDescent="0.25">
      <c r="B44" s="38"/>
      <c r="C44" s="39"/>
      <c r="D44" s="15">
        <f t="shared" si="7"/>
        <v>6</v>
      </c>
      <c r="E44" s="54"/>
      <c r="F44" s="6">
        <v>7</v>
      </c>
      <c r="G44" s="7"/>
      <c r="H44" s="48"/>
      <c r="I44" s="13">
        <f t="shared" si="9"/>
        <v>6</v>
      </c>
      <c r="J44" s="14"/>
      <c r="K44" s="48"/>
      <c r="L44" s="6">
        <f t="shared" si="17"/>
        <v>16</v>
      </c>
      <c r="M44" s="60"/>
      <c r="N44" s="11"/>
      <c r="O44" s="13">
        <f t="shared" si="11"/>
        <v>6</v>
      </c>
      <c r="P44" s="14"/>
      <c r="Q44" s="62"/>
      <c r="R44" s="61">
        <f>R45+3</f>
        <v>13</v>
      </c>
      <c r="S44" s="9"/>
      <c r="T44" s="48"/>
      <c r="U44" s="8">
        <f t="shared" si="19"/>
        <v>26</v>
      </c>
      <c r="V44" s="9"/>
      <c r="W44" s="48"/>
      <c r="X44" s="8">
        <f>3+X45</f>
        <v>12</v>
      </c>
      <c r="Y44" s="9"/>
      <c r="Z44" s="48"/>
      <c r="AA44" s="5">
        <v>16</v>
      </c>
      <c r="AB44" s="3"/>
      <c r="AC44" s="48"/>
      <c r="AD44" s="4">
        <f t="shared" si="18"/>
        <v>16</v>
      </c>
      <c r="AE44" s="2"/>
      <c r="AF44" s="48"/>
      <c r="AG44" s="5">
        <v>7</v>
      </c>
      <c r="AH44" s="3"/>
      <c r="AI44" s="48"/>
      <c r="AJ44" s="4">
        <v>7</v>
      </c>
      <c r="AK44" s="2"/>
      <c r="AL44" s="58"/>
      <c r="AN44" s="44"/>
    </row>
    <row r="45" spans="2:44" x14ac:dyDescent="0.25">
      <c r="B45" s="38"/>
      <c r="C45" s="39"/>
      <c r="D45" s="15">
        <f t="shared" si="7"/>
        <v>5</v>
      </c>
      <c r="E45" s="54"/>
      <c r="F45" s="6">
        <v>5</v>
      </c>
      <c r="G45" s="7"/>
      <c r="H45" s="48"/>
      <c r="I45" s="13">
        <f t="shared" si="9"/>
        <v>5</v>
      </c>
      <c r="J45" s="14"/>
      <c r="K45" s="48"/>
      <c r="L45" s="6">
        <f t="shared" si="17"/>
        <v>14</v>
      </c>
      <c r="M45" s="60"/>
      <c r="N45" s="11"/>
      <c r="O45" s="13">
        <f t="shared" si="11"/>
        <v>5</v>
      </c>
      <c r="P45" s="14"/>
      <c r="Q45" s="62"/>
      <c r="R45" s="61">
        <f t="shared" ref="R45:R47" si="22">R46+2</f>
        <v>10</v>
      </c>
      <c r="S45" s="71" t="s">
        <v>42</v>
      </c>
      <c r="T45" s="48"/>
      <c r="U45" s="8">
        <f t="shared" si="19"/>
        <v>23</v>
      </c>
      <c r="V45" s="71" t="s">
        <v>42</v>
      </c>
      <c r="W45" s="48"/>
      <c r="X45" s="8">
        <f t="shared" ref="X45" si="23">X46+2</f>
        <v>9</v>
      </c>
      <c r="Y45" s="71" t="s">
        <v>42</v>
      </c>
      <c r="Z45" s="48"/>
      <c r="AA45" s="5">
        <v>14</v>
      </c>
      <c r="AB45" s="3"/>
      <c r="AC45" s="48"/>
      <c r="AD45" s="4">
        <f t="shared" si="18"/>
        <v>14</v>
      </c>
      <c r="AE45" s="72" t="s">
        <v>42</v>
      </c>
      <c r="AF45" s="48"/>
      <c r="AG45" s="5">
        <v>5</v>
      </c>
      <c r="AH45" s="3"/>
      <c r="AI45" s="48"/>
      <c r="AJ45" s="4">
        <v>5</v>
      </c>
      <c r="AK45" s="72" t="s">
        <v>42</v>
      </c>
      <c r="AL45" s="58"/>
    </row>
    <row r="46" spans="2:44" x14ac:dyDescent="0.25">
      <c r="B46" s="38"/>
      <c r="C46" s="39"/>
      <c r="D46" s="15">
        <f t="shared" si="7"/>
        <v>4</v>
      </c>
      <c r="E46" s="54"/>
      <c r="F46" s="6">
        <v>4</v>
      </c>
      <c r="G46" s="7"/>
      <c r="H46" s="48"/>
      <c r="I46" s="13">
        <f t="shared" si="9"/>
        <v>4</v>
      </c>
      <c r="J46" s="14"/>
      <c r="K46" s="48"/>
      <c r="L46" s="6">
        <f t="shared" si="17"/>
        <v>12</v>
      </c>
      <c r="M46" s="60"/>
      <c r="N46" s="11"/>
      <c r="O46" s="13">
        <f t="shared" si="11"/>
        <v>4</v>
      </c>
      <c r="P46" s="14"/>
      <c r="Q46" s="62"/>
      <c r="R46" s="61">
        <f t="shared" si="22"/>
        <v>8</v>
      </c>
      <c r="S46" s="9"/>
      <c r="T46" s="48"/>
      <c r="U46" s="8">
        <f t="shared" si="19"/>
        <v>20</v>
      </c>
      <c r="V46" s="9"/>
      <c r="W46" s="48"/>
      <c r="X46" s="8">
        <f t="shared" ref="X46:X47" si="24">X47+2</f>
        <v>7</v>
      </c>
      <c r="Y46" s="9"/>
      <c r="Z46" s="48"/>
      <c r="AA46" s="5">
        <v>12</v>
      </c>
      <c r="AB46" s="3"/>
      <c r="AC46" s="48"/>
      <c r="AD46" s="4">
        <f t="shared" si="18"/>
        <v>12</v>
      </c>
      <c r="AE46" s="2"/>
      <c r="AF46" s="48"/>
      <c r="AG46" s="5">
        <v>4</v>
      </c>
      <c r="AH46" s="3"/>
      <c r="AI46" s="48"/>
      <c r="AJ46" s="4">
        <v>4</v>
      </c>
      <c r="AK46" s="2"/>
      <c r="AL46" s="58"/>
    </row>
    <row r="47" spans="2:44" x14ac:dyDescent="0.25">
      <c r="B47" s="38"/>
      <c r="C47" s="39"/>
      <c r="D47" s="15">
        <f t="shared" si="7"/>
        <v>3</v>
      </c>
      <c r="E47" s="54"/>
      <c r="F47" s="6">
        <v>3</v>
      </c>
      <c r="G47" s="7"/>
      <c r="H47" s="48"/>
      <c r="I47" s="13">
        <f t="shared" si="9"/>
        <v>3</v>
      </c>
      <c r="J47" s="14"/>
      <c r="K47" s="48"/>
      <c r="L47" s="6">
        <f>L48+2</f>
        <v>10</v>
      </c>
      <c r="M47" s="60"/>
      <c r="N47" s="11"/>
      <c r="O47" s="13">
        <f t="shared" si="11"/>
        <v>3</v>
      </c>
      <c r="P47" s="14"/>
      <c r="Q47" s="62"/>
      <c r="R47" s="61">
        <f t="shared" si="22"/>
        <v>6</v>
      </c>
      <c r="S47" s="9"/>
      <c r="T47" s="48"/>
      <c r="U47" s="8">
        <f t="shared" si="19"/>
        <v>17</v>
      </c>
      <c r="V47" s="9"/>
      <c r="W47" s="48"/>
      <c r="X47" s="8">
        <f t="shared" si="24"/>
        <v>5</v>
      </c>
      <c r="Y47" s="9"/>
      <c r="Z47" s="48"/>
      <c r="AA47" s="5">
        <v>10</v>
      </c>
      <c r="AB47" s="3"/>
      <c r="AC47" s="48"/>
      <c r="AD47" s="4">
        <f>AD48+2</f>
        <v>10</v>
      </c>
      <c r="AE47" s="2"/>
      <c r="AF47" s="48"/>
      <c r="AG47" s="5">
        <v>3</v>
      </c>
      <c r="AH47" s="3"/>
      <c r="AI47" s="48"/>
      <c r="AJ47" s="4">
        <v>3</v>
      </c>
      <c r="AK47" s="2"/>
      <c r="AL47" s="58"/>
    </row>
    <row r="48" spans="2:44" x14ac:dyDescent="0.25">
      <c r="B48" s="42"/>
      <c r="C48" s="39"/>
      <c r="D48" s="15">
        <f>1+D49</f>
        <v>2</v>
      </c>
      <c r="E48" s="54"/>
      <c r="F48" s="6">
        <v>2</v>
      </c>
      <c r="G48" s="7"/>
      <c r="H48" s="48"/>
      <c r="I48" s="13">
        <f>I49+1</f>
        <v>2</v>
      </c>
      <c r="J48" s="14"/>
      <c r="K48" s="48"/>
      <c r="L48" s="6">
        <v>8</v>
      </c>
      <c r="M48" s="60"/>
      <c r="N48" s="11"/>
      <c r="O48" s="13">
        <f>1+O49</f>
        <v>2</v>
      </c>
      <c r="P48" s="14"/>
      <c r="Q48" s="62"/>
      <c r="R48" s="61">
        <f>R49+2</f>
        <v>4</v>
      </c>
      <c r="S48" s="9"/>
      <c r="T48" s="48"/>
      <c r="U48" s="8">
        <f>3+U49</f>
        <v>14</v>
      </c>
      <c r="V48" s="9"/>
      <c r="W48" s="48"/>
      <c r="X48" s="8">
        <f>X49+2</f>
        <v>3</v>
      </c>
      <c r="Y48" s="71" t="s">
        <v>42</v>
      </c>
      <c r="Z48" s="48"/>
      <c r="AA48" s="5">
        <v>8</v>
      </c>
      <c r="AB48" s="3"/>
      <c r="AC48" s="48"/>
      <c r="AD48" s="4">
        <v>8</v>
      </c>
      <c r="AE48" s="2"/>
      <c r="AF48" s="48"/>
      <c r="AG48" s="5">
        <v>2</v>
      </c>
      <c r="AH48" s="3"/>
      <c r="AI48" s="48"/>
      <c r="AJ48" s="4">
        <v>2</v>
      </c>
      <c r="AK48" s="2"/>
      <c r="AL48" s="58"/>
    </row>
    <row r="49" spans="2:38" x14ac:dyDescent="0.25">
      <c r="B49" s="38"/>
      <c r="C49" s="39"/>
      <c r="D49" s="15">
        <v>1</v>
      </c>
      <c r="E49" s="54"/>
      <c r="F49" s="6">
        <v>1</v>
      </c>
      <c r="G49" s="7"/>
      <c r="H49" s="48"/>
      <c r="I49" s="13">
        <v>1</v>
      </c>
      <c r="J49" s="14"/>
      <c r="K49" s="48"/>
      <c r="L49" s="6">
        <v>6</v>
      </c>
      <c r="M49" s="60"/>
      <c r="N49" s="11"/>
      <c r="O49" s="13">
        <v>1</v>
      </c>
      <c r="P49" s="14"/>
      <c r="Q49" s="62"/>
      <c r="R49" s="61">
        <v>2</v>
      </c>
      <c r="S49" s="71" t="s">
        <v>42</v>
      </c>
      <c r="T49" s="48"/>
      <c r="U49" s="8">
        <v>11</v>
      </c>
      <c r="V49" s="71" t="s">
        <v>42</v>
      </c>
      <c r="W49" s="48"/>
      <c r="X49" s="8">
        <v>1</v>
      </c>
      <c r="Y49" s="9"/>
      <c r="Z49" s="48"/>
      <c r="AA49" s="5">
        <v>6</v>
      </c>
      <c r="AB49" s="3"/>
      <c r="AC49" s="48"/>
      <c r="AD49" s="4">
        <v>6</v>
      </c>
      <c r="AE49" s="72" t="s">
        <v>42</v>
      </c>
      <c r="AF49" s="48"/>
      <c r="AG49" s="5">
        <v>1</v>
      </c>
      <c r="AH49" s="3"/>
      <c r="AI49" s="48"/>
      <c r="AJ49" s="4">
        <v>1</v>
      </c>
      <c r="AK49" s="72" t="s">
        <v>42</v>
      </c>
      <c r="AL49" s="58"/>
    </row>
    <row r="50" spans="2:38" ht="15.75" thickBot="1" x14ac:dyDescent="0.3">
      <c r="E50" s="55"/>
      <c r="F50" s="56"/>
      <c r="G50" s="56"/>
      <c r="H50" s="56"/>
      <c r="I50" s="56"/>
      <c r="J50" s="56"/>
      <c r="K50" s="56"/>
      <c r="L50" s="56"/>
      <c r="M50" s="56"/>
      <c r="N50" s="63"/>
      <c r="O50" s="64"/>
      <c r="P50" s="64"/>
      <c r="Q50" s="65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9"/>
    </row>
    <row r="51" spans="2:38" s="25" customFormat="1" ht="15.75" thickTop="1" x14ac:dyDescent="0.25">
      <c r="L51" s="97" t="s">
        <v>27</v>
      </c>
      <c r="M51" s="97"/>
      <c r="O51" s="97" t="s">
        <v>36</v>
      </c>
      <c r="P51" s="97"/>
      <c r="U51" s="97" t="s">
        <v>37</v>
      </c>
      <c r="V51" s="97"/>
      <c r="X51" s="97" t="s">
        <v>27</v>
      </c>
      <c r="Y51" s="97"/>
      <c r="AD51" s="97" t="s">
        <v>28</v>
      </c>
      <c r="AE51" s="97"/>
      <c r="AJ51" s="97" t="s">
        <v>27</v>
      </c>
      <c r="AK51" s="97"/>
      <c r="AL51" s="45"/>
    </row>
    <row r="52" spans="2:38" s="25" customFormat="1" ht="15.75" thickBot="1" x14ac:dyDescent="0.3">
      <c r="L52" s="74"/>
      <c r="M52" s="74"/>
      <c r="O52" s="74"/>
      <c r="P52" s="74"/>
      <c r="U52" s="111" t="s">
        <v>36</v>
      </c>
      <c r="V52" s="111"/>
      <c r="X52" s="74"/>
      <c r="Y52" s="74"/>
      <c r="AD52" s="74"/>
      <c r="AE52" s="74"/>
      <c r="AJ52" s="74"/>
      <c r="AK52" s="74"/>
      <c r="AL52" s="74"/>
    </row>
    <row r="53" spans="2:38" s="25" customFormat="1" x14ac:dyDescent="0.25">
      <c r="F53" s="102" t="s">
        <v>46</v>
      </c>
      <c r="G53" s="103"/>
      <c r="I53" s="102" t="s">
        <v>46</v>
      </c>
      <c r="J53" s="103"/>
      <c r="L53" s="102" t="s">
        <v>60</v>
      </c>
      <c r="M53" s="103"/>
      <c r="O53" s="102" t="s">
        <v>46</v>
      </c>
      <c r="P53" s="103"/>
      <c r="R53" s="102" t="s">
        <v>46</v>
      </c>
      <c r="S53" s="103"/>
      <c r="U53" s="102" t="s">
        <v>46</v>
      </c>
      <c r="V53" s="103"/>
      <c r="X53" s="102" t="s">
        <v>46</v>
      </c>
      <c r="Y53" s="103"/>
      <c r="AA53" s="102" t="s">
        <v>58</v>
      </c>
      <c r="AB53" s="103"/>
      <c r="AD53" s="102" t="s">
        <v>53</v>
      </c>
      <c r="AE53" s="103"/>
      <c r="AG53" s="102" t="s">
        <v>46</v>
      </c>
      <c r="AH53" s="103"/>
      <c r="AJ53" s="102" t="s">
        <v>46</v>
      </c>
      <c r="AK53" s="103"/>
      <c r="AL53" s="74"/>
    </row>
    <row r="54" spans="2:38" s="25" customFormat="1" x14ac:dyDescent="0.25">
      <c r="F54" s="98" t="s">
        <v>43</v>
      </c>
      <c r="G54" s="99"/>
      <c r="I54" s="98" t="s">
        <v>43</v>
      </c>
      <c r="J54" s="99"/>
      <c r="L54" s="98" t="s">
        <v>43</v>
      </c>
      <c r="M54" s="99"/>
      <c r="O54" s="98" t="s">
        <v>48</v>
      </c>
      <c r="P54" s="99"/>
      <c r="R54" s="98" t="s">
        <v>48</v>
      </c>
      <c r="S54" s="99"/>
      <c r="U54" s="98" t="s">
        <v>48</v>
      </c>
      <c r="V54" s="99"/>
      <c r="X54" s="98" t="s">
        <v>48</v>
      </c>
      <c r="Y54" s="99"/>
      <c r="AA54" s="98" t="s">
        <v>48</v>
      </c>
      <c r="AB54" s="99"/>
      <c r="AD54" s="98" t="s">
        <v>48</v>
      </c>
      <c r="AE54" s="99"/>
      <c r="AG54" s="98" t="s">
        <v>43</v>
      </c>
      <c r="AH54" s="99"/>
      <c r="AJ54" s="98" t="s">
        <v>48</v>
      </c>
      <c r="AK54" s="99"/>
      <c r="AL54" s="74"/>
    </row>
    <row r="55" spans="2:38" s="25" customFormat="1" x14ac:dyDescent="0.25">
      <c r="F55" s="98" t="s">
        <v>45</v>
      </c>
      <c r="G55" s="99"/>
      <c r="I55" s="98" t="s">
        <v>45</v>
      </c>
      <c r="J55" s="99"/>
      <c r="L55" s="98" t="s">
        <v>45</v>
      </c>
      <c r="M55" s="99"/>
      <c r="O55" s="98" t="s">
        <v>49</v>
      </c>
      <c r="P55" s="99"/>
      <c r="R55" s="98" t="s">
        <v>49</v>
      </c>
      <c r="S55" s="99"/>
      <c r="U55" s="98" t="s">
        <v>49</v>
      </c>
      <c r="V55" s="99"/>
      <c r="X55" s="98" t="s">
        <v>49</v>
      </c>
      <c r="Y55" s="99"/>
      <c r="AA55" s="98" t="s">
        <v>45</v>
      </c>
      <c r="AB55" s="99"/>
      <c r="AD55" s="98" t="s">
        <v>45</v>
      </c>
      <c r="AE55" s="99"/>
      <c r="AG55" s="98" t="s">
        <v>45</v>
      </c>
      <c r="AH55" s="99"/>
      <c r="AJ55" s="98" t="s">
        <v>49</v>
      </c>
      <c r="AK55" s="99"/>
      <c r="AL55" s="74"/>
    </row>
    <row r="56" spans="2:38" s="25" customFormat="1" ht="15.75" thickBot="1" x14ac:dyDescent="0.3">
      <c r="F56" s="100" t="s">
        <v>44</v>
      </c>
      <c r="G56" s="101"/>
      <c r="I56" s="100" t="s">
        <v>47</v>
      </c>
      <c r="J56" s="101"/>
      <c r="L56" s="100" t="s">
        <v>47</v>
      </c>
      <c r="M56" s="101"/>
      <c r="O56" s="100" t="s">
        <v>50</v>
      </c>
      <c r="P56" s="101"/>
      <c r="R56" s="100" t="s">
        <v>50</v>
      </c>
      <c r="S56" s="101"/>
      <c r="U56" s="100" t="s">
        <v>50</v>
      </c>
      <c r="V56" s="101"/>
      <c r="X56" s="100" t="s">
        <v>50</v>
      </c>
      <c r="Y56" s="101"/>
      <c r="AA56" s="100" t="s">
        <v>50</v>
      </c>
      <c r="AB56" s="101"/>
      <c r="AD56" s="100" t="s">
        <v>50</v>
      </c>
      <c r="AE56" s="101"/>
      <c r="AG56" s="100" t="s">
        <v>44</v>
      </c>
      <c r="AH56" s="101"/>
      <c r="AJ56" s="100" t="s">
        <v>50</v>
      </c>
      <c r="AK56" s="101"/>
      <c r="AL56" s="74"/>
    </row>
    <row r="57" spans="2:38" s="25" customFormat="1" x14ac:dyDescent="0.25">
      <c r="F57" s="74"/>
      <c r="G57" s="74"/>
      <c r="I57" s="97"/>
      <c r="J57" s="97"/>
      <c r="L57" s="98" t="s">
        <v>59</v>
      </c>
      <c r="M57" s="99"/>
      <c r="O57" s="74"/>
      <c r="P57" s="74"/>
      <c r="R57" s="74"/>
      <c r="S57" s="74"/>
      <c r="U57" s="74"/>
      <c r="V57" s="74"/>
      <c r="X57" s="74"/>
      <c r="Y57" s="74"/>
      <c r="AA57" s="98" t="s">
        <v>57</v>
      </c>
      <c r="AB57" s="99"/>
      <c r="AD57" s="98" t="s">
        <v>52</v>
      </c>
      <c r="AE57" s="99"/>
      <c r="AJ57" s="74"/>
      <c r="AK57" s="74"/>
      <c r="AL57" s="74"/>
    </row>
    <row r="58" spans="2:38" s="25" customFormat="1" x14ac:dyDescent="0.25">
      <c r="F58" s="74"/>
      <c r="G58" s="74"/>
      <c r="I58" s="97"/>
      <c r="J58" s="97"/>
      <c r="L58" s="98" t="s">
        <v>48</v>
      </c>
      <c r="M58" s="99"/>
      <c r="O58" s="74"/>
      <c r="P58" s="74"/>
      <c r="R58" s="74"/>
      <c r="S58" s="74"/>
      <c r="U58" s="74"/>
      <c r="V58" s="74"/>
      <c r="X58" s="74"/>
      <c r="Y58" s="74"/>
      <c r="AA58" s="98" t="s">
        <v>43</v>
      </c>
      <c r="AB58" s="99"/>
      <c r="AD58" s="98" t="s">
        <v>43</v>
      </c>
      <c r="AE58" s="99"/>
      <c r="AJ58" s="74"/>
      <c r="AK58" s="74"/>
      <c r="AL58" s="74"/>
    </row>
    <row r="59" spans="2:38" s="25" customFormat="1" x14ac:dyDescent="0.25">
      <c r="F59" s="74"/>
      <c r="G59" s="74"/>
      <c r="I59" s="97"/>
      <c r="J59" s="97"/>
      <c r="L59" s="98" t="s">
        <v>45</v>
      </c>
      <c r="M59" s="99"/>
      <c r="O59" s="74"/>
      <c r="P59" s="74"/>
      <c r="R59" s="74"/>
      <c r="S59" s="74"/>
      <c r="U59" s="74"/>
      <c r="V59" s="74"/>
      <c r="X59" s="74"/>
      <c r="Y59" s="74"/>
      <c r="AA59" s="98" t="s">
        <v>45</v>
      </c>
      <c r="AB59" s="99"/>
      <c r="AD59" s="98" t="s">
        <v>45</v>
      </c>
      <c r="AE59" s="99"/>
      <c r="AJ59" s="74"/>
      <c r="AK59" s="74"/>
      <c r="AL59" s="74"/>
    </row>
    <row r="60" spans="2:38" s="25" customFormat="1" ht="15.75" thickBot="1" x14ac:dyDescent="0.3">
      <c r="F60" s="74"/>
      <c r="G60" s="74"/>
      <c r="I60" s="97"/>
      <c r="J60" s="97"/>
      <c r="L60" s="98" t="s">
        <v>47</v>
      </c>
      <c r="M60" s="99"/>
      <c r="O60" s="74"/>
      <c r="P60" s="74"/>
      <c r="R60" s="74"/>
      <c r="S60" s="74"/>
      <c r="U60" s="74"/>
      <c r="V60" s="74"/>
      <c r="X60" s="74"/>
      <c r="Y60" s="74"/>
      <c r="AA60" s="98" t="s">
        <v>50</v>
      </c>
      <c r="AB60" s="99"/>
      <c r="AD60" s="98" t="s">
        <v>50</v>
      </c>
      <c r="AE60" s="99"/>
      <c r="AJ60" s="74"/>
      <c r="AK60" s="74"/>
      <c r="AL60" s="74"/>
    </row>
    <row r="61" spans="2:38" s="25" customFormat="1" x14ac:dyDescent="0.25">
      <c r="F61" s="74"/>
      <c r="G61" s="74"/>
      <c r="I61" s="74"/>
      <c r="J61" s="74"/>
      <c r="L61" s="102" t="s">
        <v>54</v>
      </c>
      <c r="M61" s="103"/>
      <c r="O61" s="74"/>
      <c r="P61" s="74"/>
      <c r="R61" s="74"/>
      <c r="S61" s="74"/>
      <c r="U61" s="74"/>
      <c r="V61" s="74"/>
      <c r="X61" s="74"/>
      <c r="Y61" s="74"/>
      <c r="AA61" s="102" t="s">
        <v>56</v>
      </c>
      <c r="AB61" s="103"/>
      <c r="AD61" s="102" t="s">
        <v>51</v>
      </c>
      <c r="AE61" s="103"/>
      <c r="AJ61" s="74"/>
      <c r="AK61" s="74"/>
      <c r="AL61" s="74"/>
    </row>
    <row r="62" spans="2:38" s="25" customFormat="1" x14ac:dyDescent="0.25">
      <c r="F62" s="74"/>
      <c r="G62" s="74"/>
      <c r="I62" s="74"/>
      <c r="J62" s="74"/>
      <c r="L62" s="98" t="s">
        <v>43</v>
      </c>
      <c r="M62" s="99"/>
      <c r="O62" s="74"/>
      <c r="P62" s="74"/>
      <c r="R62" s="74"/>
      <c r="S62" s="74"/>
      <c r="U62" s="74"/>
      <c r="V62" s="74"/>
      <c r="X62" s="74"/>
      <c r="Y62" s="74"/>
      <c r="AA62" s="98" t="s">
        <v>48</v>
      </c>
      <c r="AB62" s="99"/>
      <c r="AD62" s="98" t="s">
        <v>48</v>
      </c>
      <c r="AE62" s="99"/>
      <c r="AJ62" s="74"/>
      <c r="AK62" s="74"/>
      <c r="AL62" s="74"/>
    </row>
    <row r="63" spans="2:38" s="25" customFormat="1" x14ac:dyDescent="0.25">
      <c r="F63" s="74"/>
      <c r="G63" s="74"/>
      <c r="I63" s="74"/>
      <c r="J63" s="74"/>
      <c r="L63" s="98" t="s">
        <v>45</v>
      </c>
      <c r="M63" s="99"/>
      <c r="O63" s="74"/>
      <c r="P63" s="74"/>
      <c r="R63" s="74"/>
      <c r="S63" s="74"/>
      <c r="U63" s="74"/>
      <c r="V63" s="74"/>
      <c r="X63" s="74"/>
      <c r="Y63" s="74"/>
      <c r="AA63" s="98" t="s">
        <v>45</v>
      </c>
      <c r="AB63" s="99"/>
      <c r="AD63" s="98" t="s">
        <v>49</v>
      </c>
      <c r="AE63" s="99"/>
      <c r="AJ63" s="74"/>
      <c r="AK63" s="74"/>
      <c r="AL63" s="74"/>
    </row>
    <row r="64" spans="2:38" s="25" customFormat="1" ht="15.75" thickBot="1" x14ac:dyDescent="0.3">
      <c r="F64" s="74"/>
      <c r="G64" s="74"/>
      <c r="I64" s="74"/>
      <c r="J64" s="74"/>
      <c r="L64" s="100" t="s">
        <v>47</v>
      </c>
      <c r="M64" s="101"/>
      <c r="O64" s="74"/>
      <c r="P64" s="74"/>
      <c r="R64" s="74"/>
      <c r="S64" s="74"/>
      <c r="U64" s="74"/>
      <c r="V64" s="74"/>
      <c r="X64" s="74"/>
      <c r="Y64" s="74"/>
      <c r="AA64" s="100" t="s">
        <v>50</v>
      </c>
      <c r="AB64" s="101"/>
      <c r="AD64" s="100" t="s">
        <v>50</v>
      </c>
      <c r="AE64" s="101"/>
      <c r="AJ64" s="74"/>
      <c r="AK64" s="74"/>
      <c r="AL64" s="74"/>
    </row>
    <row r="65" spans="4:38" s="25" customFormat="1" x14ac:dyDescent="0.25">
      <c r="F65" s="74"/>
      <c r="G65" s="74"/>
      <c r="I65" s="97"/>
      <c r="J65" s="97"/>
      <c r="O65" s="74"/>
      <c r="P65" s="74"/>
      <c r="R65" s="74"/>
      <c r="S65" s="74"/>
      <c r="U65" s="74"/>
      <c r="V65" s="74"/>
      <c r="X65" s="74"/>
      <c r="Y65" s="74"/>
      <c r="AA65" s="102" t="s">
        <v>55</v>
      </c>
      <c r="AB65" s="103"/>
      <c r="AJ65" s="74"/>
      <c r="AK65" s="74"/>
      <c r="AL65" s="74"/>
    </row>
    <row r="66" spans="4:38" s="25" customFormat="1" x14ac:dyDescent="0.25">
      <c r="F66" s="74"/>
      <c r="G66" s="74"/>
      <c r="I66" s="97"/>
      <c r="J66" s="97"/>
      <c r="O66" s="74"/>
      <c r="P66" s="74"/>
      <c r="R66" s="74"/>
      <c r="S66" s="74"/>
      <c r="U66" s="74"/>
      <c r="V66" s="74"/>
      <c r="X66" s="74"/>
      <c r="Y66" s="74"/>
      <c r="AA66" s="98" t="s">
        <v>43</v>
      </c>
      <c r="AB66" s="99"/>
      <c r="AJ66" s="74"/>
      <c r="AK66" s="74"/>
      <c r="AL66" s="74"/>
    </row>
    <row r="67" spans="4:38" s="25" customFormat="1" x14ac:dyDescent="0.25">
      <c r="I67" s="97"/>
      <c r="J67" s="97"/>
      <c r="O67" s="74"/>
      <c r="P67" s="74"/>
      <c r="U67" s="74"/>
      <c r="V67" s="74"/>
      <c r="X67" s="74"/>
      <c r="Y67" s="74"/>
      <c r="AA67" s="98" t="s">
        <v>45</v>
      </c>
      <c r="AB67" s="99"/>
      <c r="AJ67" s="74"/>
      <c r="AK67" s="74"/>
      <c r="AL67" s="74"/>
    </row>
    <row r="68" spans="4:38" s="25" customFormat="1" ht="15.75" thickBot="1" x14ac:dyDescent="0.3">
      <c r="I68" s="97"/>
      <c r="J68" s="97"/>
      <c r="O68" s="74"/>
      <c r="P68" s="74"/>
      <c r="X68" s="74"/>
      <c r="Y68" s="74"/>
      <c r="AA68" s="100" t="s">
        <v>50</v>
      </c>
      <c r="AB68" s="101"/>
      <c r="AJ68" s="74"/>
      <c r="AK68" s="74"/>
      <c r="AL68" s="74"/>
    </row>
    <row r="69" spans="4:38" s="25" customFormat="1" x14ac:dyDescent="0.25">
      <c r="I69" s="97"/>
      <c r="J69" s="97"/>
      <c r="O69" s="70"/>
      <c r="P69" s="70"/>
      <c r="X69" s="70"/>
      <c r="Y69" s="70"/>
      <c r="AA69" s="97"/>
      <c r="AB69" s="97"/>
      <c r="AJ69" s="70"/>
      <c r="AK69" s="70"/>
      <c r="AL69" s="70"/>
    </row>
    <row r="70" spans="4:38" ht="15.75" thickBot="1" x14ac:dyDescent="0.3">
      <c r="F70" s="26"/>
      <c r="G70" s="27"/>
      <c r="H70" s="27"/>
      <c r="I70" s="27"/>
      <c r="J70" s="124"/>
      <c r="K70" s="124"/>
      <c r="L70" s="124" t="s">
        <v>40</v>
      </c>
      <c r="M70" s="124"/>
      <c r="N70" s="27"/>
      <c r="O70" s="124" t="s">
        <v>40</v>
      </c>
      <c r="P70" s="101"/>
      <c r="Q70" s="25"/>
      <c r="R70" s="26"/>
      <c r="S70" s="27"/>
      <c r="T70" s="27"/>
      <c r="U70" s="124" t="s">
        <v>40</v>
      </c>
      <c r="V70" s="124"/>
      <c r="W70" s="27"/>
      <c r="X70" s="124" t="s">
        <v>40</v>
      </c>
      <c r="Y70" s="101"/>
      <c r="Z70" s="25"/>
      <c r="AA70" s="26"/>
      <c r="AB70" s="27"/>
      <c r="AC70" s="27"/>
      <c r="AD70" s="27"/>
      <c r="AE70" s="27"/>
      <c r="AF70" s="27"/>
      <c r="AG70" s="27"/>
      <c r="AH70" s="27"/>
      <c r="AI70" s="27"/>
      <c r="AJ70" s="124" t="s">
        <v>40</v>
      </c>
      <c r="AK70" s="101"/>
      <c r="AL70" s="1"/>
    </row>
    <row r="71" spans="4:38" x14ac:dyDescent="0.25">
      <c r="D71" s="30"/>
      <c r="E71" s="30"/>
      <c r="J71" s="25"/>
      <c r="K71" s="28"/>
      <c r="L71" s="25"/>
      <c r="M71" s="25"/>
      <c r="N71" s="25"/>
      <c r="O71" s="25"/>
      <c r="P71" s="25"/>
      <c r="Q71" s="25"/>
      <c r="R71" s="25"/>
      <c r="S71" s="25"/>
      <c r="T71" s="25"/>
      <c r="U71" s="28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8"/>
      <c r="AG71" s="25"/>
    </row>
    <row r="72" spans="4:38" x14ac:dyDescent="0.25">
      <c r="J72" s="25"/>
      <c r="K72" s="29"/>
      <c r="L72" s="25"/>
      <c r="M72" s="25"/>
      <c r="N72" s="25"/>
      <c r="O72" s="25"/>
      <c r="P72" s="25"/>
      <c r="Q72" s="25"/>
      <c r="R72" s="25"/>
      <c r="S72" s="25"/>
      <c r="T72" s="25"/>
      <c r="U72" s="29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9"/>
      <c r="AG72" s="25"/>
    </row>
    <row r="73" spans="4:38" ht="15.75" x14ac:dyDescent="0.25">
      <c r="F73" s="120" t="s">
        <v>20</v>
      </c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25"/>
      <c r="R73" s="120" t="s">
        <v>21</v>
      </c>
      <c r="S73" s="120"/>
      <c r="T73" s="120"/>
      <c r="U73" s="120"/>
      <c r="V73" s="120"/>
      <c r="W73" s="120"/>
      <c r="X73" s="120"/>
      <c r="Y73" s="120"/>
      <c r="Z73" s="25"/>
      <c r="AA73" s="120" t="s">
        <v>41</v>
      </c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46"/>
    </row>
    <row r="74" spans="4:38" x14ac:dyDescent="0.25"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45"/>
    </row>
  </sheetData>
  <mergeCells count="125">
    <mergeCell ref="AA74:AK74"/>
    <mergeCell ref="U51:V51"/>
    <mergeCell ref="X51:Y51"/>
    <mergeCell ref="AD51:AE51"/>
    <mergeCell ref="AJ51:AK51"/>
    <mergeCell ref="AA73:AK73"/>
    <mergeCell ref="R73:Y73"/>
    <mergeCell ref="U52:V52"/>
    <mergeCell ref="AJ70:AK70"/>
    <mergeCell ref="X70:Y70"/>
    <mergeCell ref="AJ53:AK53"/>
    <mergeCell ref="AJ54:AK54"/>
    <mergeCell ref="AJ55:AK55"/>
    <mergeCell ref="AJ56:AK56"/>
    <mergeCell ref="AD53:AE53"/>
    <mergeCell ref="AD54:AE54"/>
    <mergeCell ref="AD55:AE55"/>
    <mergeCell ref="AD56:AE56"/>
    <mergeCell ref="X53:Y53"/>
    <mergeCell ref="X54:Y54"/>
    <mergeCell ref="X55:Y55"/>
    <mergeCell ref="X56:Y56"/>
    <mergeCell ref="AG53:AH53"/>
    <mergeCell ref="AG54:AH54"/>
    <mergeCell ref="F73:P73"/>
    <mergeCell ref="F4:G4"/>
    <mergeCell ref="O8:P8"/>
    <mergeCell ref="AG4:AH4"/>
    <mergeCell ref="AD4:AE4"/>
    <mergeCell ref="AA4:AB4"/>
    <mergeCell ref="X4:Y4"/>
    <mergeCell ref="U4:V4"/>
    <mergeCell ref="R4:S4"/>
    <mergeCell ref="O4:P4"/>
    <mergeCell ref="I8:J8"/>
    <mergeCell ref="I4:J4"/>
    <mergeCell ref="L70:M70"/>
    <mergeCell ref="U70:V70"/>
    <mergeCell ref="L51:M51"/>
    <mergeCell ref="O51:P51"/>
    <mergeCell ref="O70:P70"/>
    <mergeCell ref="L53:M53"/>
    <mergeCell ref="J70:K70"/>
    <mergeCell ref="F54:G54"/>
    <mergeCell ref="F55:G55"/>
    <mergeCell ref="F56:G56"/>
    <mergeCell ref="F53:G53"/>
    <mergeCell ref="I53:J53"/>
    <mergeCell ref="AQ4:AR5"/>
    <mergeCell ref="AQ3:AR3"/>
    <mergeCell ref="O7:P7"/>
    <mergeCell ref="L4:M4"/>
    <mergeCell ref="AN28:AO28"/>
    <mergeCell ref="AN30:AO30"/>
    <mergeCell ref="AN24:AO24"/>
    <mergeCell ref="AN26:AO26"/>
    <mergeCell ref="AN13:AO13"/>
    <mergeCell ref="AG8:AH8"/>
    <mergeCell ref="AA8:AB8"/>
    <mergeCell ref="U8:V8"/>
    <mergeCell ref="AJ4:AK4"/>
    <mergeCell ref="I54:J54"/>
    <mergeCell ref="I55:J55"/>
    <mergeCell ref="I56:J56"/>
    <mergeCell ref="B3:C3"/>
    <mergeCell ref="B4:C5"/>
    <mergeCell ref="U53:V53"/>
    <mergeCell ref="U54:V54"/>
    <mergeCell ref="U55:V55"/>
    <mergeCell ref="U56:V56"/>
    <mergeCell ref="L54:M54"/>
    <mergeCell ref="L55:M55"/>
    <mergeCell ref="L56:M56"/>
    <mergeCell ref="O53:P53"/>
    <mergeCell ref="O54:P54"/>
    <mergeCell ref="O55:P55"/>
    <mergeCell ref="O56:P56"/>
    <mergeCell ref="I68:J68"/>
    <mergeCell ref="I69:J69"/>
    <mergeCell ref="L58:M58"/>
    <mergeCell ref="L59:M59"/>
    <mergeCell ref="L60:M60"/>
    <mergeCell ref="L61:M61"/>
    <mergeCell ref="L63:M63"/>
    <mergeCell ref="AD58:AE58"/>
    <mergeCell ref="AD59:AE59"/>
    <mergeCell ref="AD60:AE60"/>
    <mergeCell ref="AD61:AE61"/>
    <mergeCell ref="AD63:AE63"/>
    <mergeCell ref="AA68:AB68"/>
    <mergeCell ref="AA69:AB69"/>
    <mergeCell ref="AA65:AB65"/>
    <mergeCell ref="AA66:AB66"/>
    <mergeCell ref="I65:J65"/>
    <mergeCell ref="I66:J66"/>
    <mergeCell ref="I67:J67"/>
    <mergeCell ref="AA67:AB67"/>
    <mergeCell ref="AG55:AH55"/>
    <mergeCell ref="AG56:AH56"/>
    <mergeCell ref="L64:M64"/>
    <mergeCell ref="AA53:AB53"/>
    <mergeCell ref="AA54:AB54"/>
    <mergeCell ref="AA55:AB55"/>
    <mergeCell ref="AA56:AB56"/>
    <mergeCell ref="AA58:AB58"/>
    <mergeCell ref="AA59:AB59"/>
    <mergeCell ref="AA60:AB60"/>
    <mergeCell ref="AA61:AB61"/>
    <mergeCell ref="AA63:AB63"/>
    <mergeCell ref="AA64:AB64"/>
    <mergeCell ref="AD64:AE64"/>
    <mergeCell ref="R53:S53"/>
    <mergeCell ref="R54:S54"/>
    <mergeCell ref="R55:S55"/>
    <mergeCell ref="R56:S56"/>
    <mergeCell ref="I57:J57"/>
    <mergeCell ref="L57:M57"/>
    <mergeCell ref="AA57:AB57"/>
    <mergeCell ref="AD57:AE57"/>
    <mergeCell ref="L62:M62"/>
    <mergeCell ref="AA62:AB62"/>
    <mergeCell ref="AD62:AE62"/>
    <mergeCell ref="I58:J58"/>
    <mergeCell ref="I59:J59"/>
    <mergeCell ref="I60:J60"/>
  </mergeCells>
  <printOptions horizontalCentered="1" verticalCentered="1"/>
  <pageMargins left="0" right="0" top="0" bottom="0" header="0" footer="0"/>
  <pageSetup paperSize="17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Tier 1</vt:lpstr>
      <vt:lpstr>'Tier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Prieto</dc:creator>
  <cp:lastModifiedBy>George Prieto</cp:lastModifiedBy>
  <cp:lastPrinted>2015-11-17T16:22:35Z</cp:lastPrinted>
  <dcterms:created xsi:type="dcterms:W3CDTF">2015-07-20T14:42:06Z</dcterms:created>
  <dcterms:modified xsi:type="dcterms:W3CDTF">2015-11-30T16:13:49Z</dcterms:modified>
</cp:coreProperties>
</file>